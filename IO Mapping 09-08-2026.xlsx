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PL WORK\PMSS\RTL\PMSS_FPGA_RTD_TEST\PMSS_RTD_FPGA_TEST\"/>
    </mc:Choice>
  </mc:AlternateContent>
  <xr:revisionPtr revIDLastSave="0" documentId="13_ncr:1_{374CA278-BDE8-4660-BCBB-5F94A128BD1E}" xr6:coauthVersionLast="47" xr6:coauthVersionMax="47" xr10:uidLastSave="{00000000-0000-0000-0000-000000000000}"/>
  <bookViews>
    <workbookView xWindow="-108" yWindow="-108" windowWidth="23256" windowHeight="13896" xr2:uid="{0456F51E-4089-4B13-8552-D198438A986D}"/>
  </bookViews>
  <sheets>
    <sheet name="Sheet1" sheetId="1" r:id="rId1"/>
  </sheets>
  <definedNames>
    <definedName name="_xlnm._FilterDatabase" localSheetId="0" hidden="1">Sheet1!$B$23:$G$198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" i="1"/>
  <c r="D124" i="1"/>
  <c r="D135" i="1" s="1"/>
  <c r="D146" i="1" s="1"/>
  <c r="D157" i="1" s="1"/>
  <c r="D168" i="1" s="1"/>
  <c r="D179" i="1" s="1"/>
  <c r="D190" i="1" s="1"/>
  <c r="D125" i="1"/>
  <c r="D136" i="1" s="1"/>
  <c r="D147" i="1" s="1"/>
  <c r="D158" i="1" s="1"/>
  <c r="D169" i="1" s="1"/>
  <c r="D180" i="1" s="1"/>
  <c r="D191" i="1" s="1"/>
  <c r="D126" i="1"/>
  <c r="D137" i="1" s="1"/>
  <c r="D148" i="1" s="1"/>
  <c r="D159" i="1" s="1"/>
  <c r="D170" i="1" s="1"/>
  <c r="D181" i="1" s="1"/>
  <c r="D192" i="1" s="1"/>
  <c r="D127" i="1"/>
  <c r="D138" i="1" s="1"/>
  <c r="D149" i="1" s="1"/>
  <c r="D160" i="1" s="1"/>
  <c r="D171" i="1" s="1"/>
  <c r="D182" i="1" s="1"/>
  <c r="D193" i="1" s="1"/>
  <c r="D128" i="1"/>
  <c r="D139" i="1" s="1"/>
  <c r="D150" i="1" s="1"/>
  <c r="D161" i="1" s="1"/>
  <c r="D172" i="1" s="1"/>
  <c r="D183" i="1" s="1"/>
  <c r="D194" i="1" s="1"/>
  <c r="D129" i="1"/>
  <c r="D140" i="1" s="1"/>
  <c r="D151" i="1" s="1"/>
  <c r="D162" i="1" s="1"/>
  <c r="D173" i="1" s="1"/>
  <c r="D184" i="1" s="1"/>
  <c r="D195" i="1" s="1"/>
  <c r="D130" i="1"/>
  <c r="D141" i="1" s="1"/>
  <c r="D152" i="1" s="1"/>
  <c r="D163" i="1" s="1"/>
  <c r="D174" i="1" s="1"/>
  <c r="D185" i="1" s="1"/>
  <c r="D196" i="1" s="1"/>
  <c r="D131" i="1"/>
  <c r="D142" i="1" s="1"/>
  <c r="D153" i="1" s="1"/>
  <c r="D164" i="1" s="1"/>
  <c r="D175" i="1" s="1"/>
  <c r="D186" i="1" s="1"/>
  <c r="D197" i="1" s="1"/>
  <c r="D132" i="1"/>
  <c r="D143" i="1" s="1"/>
  <c r="D154" i="1" s="1"/>
  <c r="D165" i="1" s="1"/>
  <c r="D176" i="1" s="1"/>
  <c r="D187" i="1" s="1"/>
  <c r="D198" i="1" s="1"/>
  <c r="D123" i="1"/>
  <c r="D134" i="1" s="1"/>
  <c r="D145" i="1" s="1"/>
  <c r="D156" i="1" s="1"/>
  <c r="D167" i="1" s="1"/>
  <c r="D178" i="1" s="1"/>
  <c r="D189" i="1" s="1"/>
  <c r="E113" i="1"/>
  <c r="E124" i="1" s="1"/>
  <c r="E135" i="1" s="1"/>
  <c r="E146" i="1" s="1"/>
  <c r="E157" i="1" s="1"/>
  <c r="E168" i="1" s="1"/>
  <c r="E179" i="1" s="1"/>
  <c r="E190" i="1" s="1"/>
  <c r="E114" i="1"/>
  <c r="E125" i="1" s="1"/>
  <c r="E136" i="1" s="1"/>
  <c r="E147" i="1" s="1"/>
  <c r="E158" i="1" s="1"/>
  <c r="E169" i="1" s="1"/>
  <c r="E180" i="1" s="1"/>
  <c r="E191" i="1" s="1"/>
  <c r="E115" i="1"/>
  <c r="E126" i="1" s="1"/>
  <c r="E137" i="1" s="1"/>
  <c r="E148" i="1" s="1"/>
  <c r="E159" i="1" s="1"/>
  <c r="E170" i="1" s="1"/>
  <c r="E181" i="1" s="1"/>
  <c r="E192" i="1" s="1"/>
  <c r="E116" i="1"/>
  <c r="E127" i="1" s="1"/>
  <c r="E138" i="1" s="1"/>
  <c r="E149" i="1" s="1"/>
  <c r="E160" i="1" s="1"/>
  <c r="E171" i="1" s="1"/>
  <c r="E182" i="1" s="1"/>
  <c r="E193" i="1" s="1"/>
  <c r="E117" i="1"/>
  <c r="E128" i="1" s="1"/>
  <c r="E139" i="1" s="1"/>
  <c r="E150" i="1" s="1"/>
  <c r="E161" i="1" s="1"/>
  <c r="E172" i="1" s="1"/>
  <c r="E183" i="1" s="1"/>
  <c r="E194" i="1" s="1"/>
  <c r="E118" i="1"/>
  <c r="E129" i="1" s="1"/>
  <c r="E140" i="1" s="1"/>
  <c r="E151" i="1" s="1"/>
  <c r="E162" i="1" s="1"/>
  <c r="E173" i="1" s="1"/>
  <c r="E184" i="1" s="1"/>
  <c r="E195" i="1" s="1"/>
  <c r="E119" i="1"/>
  <c r="E130" i="1" s="1"/>
  <c r="E141" i="1" s="1"/>
  <c r="E152" i="1" s="1"/>
  <c r="E163" i="1" s="1"/>
  <c r="E174" i="1" s="1"/>
  <c r="E185" i="1" s="1"/>
  <c r="E196" i="1" s="1"/>
  <c r="E120" i="1"/>
  <c r="E131" i="1" s="1"/>
  <c r="E142" i="1" s="1"/>
  <c r="E153" i="1" s="1"/>
  <c r="E164" i="1" s="1"/>
  <c r="E175" i="1" s="1"/>
  <c r="E186" i="1" s="1"/>
  <c r="E197" i="1" s="1"/>
  <c r="E121" i="1"/>
  <c r="E132" i="1" s="1"/>
  <c r="E143" i="1" s="1"/>
  <c r="E154" i="1" s="1"/>
  <c r="E165" i="1" s="1"/>
  <c r="E176" i="1" s="1"/>
  <c r="E187" i="1" s="1"/>
  <c r="E198" i="1" s="1"/>
  <c r="E112" i="1"/>
  <c r="E123" i="1" s="1"/>
  <c r="E134" i="1" s="1"/>
  <c r="E145" i="1" s="1"/>
  <c r="E156" i="1" s="1"/>
  <c r="E167" i="1" s="1"/>
  <c r="E178" i="1" s="1"/>
  <c r="E189" i="1" s="1"/>
  <c r="D36" i="1"/>
  <c r="D47" i="1" s="1"/>
  <c r="D58" i="1" s="1"/>
  <c r="D69" i="1" s="1"/>
  <c r="D80" i="1" s="1"/>
  <c r="D91" i="1" s="1"/>
  <c r="D102" i="1" s="1"/>
  <c r="D37" i="1"/>
  <c r="D48" i="1" s="1"/>
  <c r="D59" i="1" s="1"/>
  <c r="D70" i="1" s="1"/>
  <c r="D81" i="1" s="1"/>
  <c r="D92" i="1" s="1"/>
  <c r="D103" i="1" s="1"/>
  <c r="D38" i="1"/>
  <c r="D49" i="1" s="1"/>
  <c r="D60" i="1" s="1"/>
  <c r="D71" i="1" s="1"/>
  <c r="D82" i="1" s="1"/>
  <c r="D93" i="1" s="1"/>
  <c r="D104" i="1" s="1"/>
  <c r="D39" i="1"/>
  <c r="D50" i="1" s="1"/>
  <c r="D61" i="1" s="1"/>
  <c r="D72" i="1" s="1"/>
  <c r="D83" i="1" s="1"/>
  <c r="D94" i="1" s="1"/>
  <c r="D105" i="1" s="1"/>
  <c r="D40" i="1"/>
  <c r="D51" i="1" s="1"/>
  <c r="D62" i="1" s="1"/>
  <c r="D73" i="1" s="1"/>
  <c r="D84" i="1" s="1"/>
  <c r="D95" i="1" s="1"/>
  <c r="D106" i="1" s="1"/>
  <c r="D41" i="1"/>
  <c r="D52" i="1" s="1"/>
  <c r="D63" i="1" s="1"/>
  <c r="D74" i="1" s="1"/>
  <c r="D85" i="1" s="1"/>
  <c r="D96" i="1" s="1"/>
  <c r="D107" i="1" s="1"/>
  <c r="D42" i="1"/>
  <c r="D53" i="1" s="1"/>
  <c r="D64" i="1" s="1"/>
  <c r="D75" i="1" s="1"/>
  <c r="D86" i="1" s="1"/>
  <c r="D97" i="1" s="1"/>
  <c r="D108" i="1" s="1"/>
  <c r="D43" i="1"/>
  <c r="D54" i="1" s="1"/>
  <c r="D65" i="1" s="1"/>
  <c r="D76" i="1" s="1"/>
  <c r="D87" i="1" s="1"/>
  <c r="D98" i="1" s="1"/>
  <c r="D109" i="1" s="1"/>
  <c r="D44" i="1"/>
  <c r="D55" i="1" s="1"/>
  <c r="D66" i="1" s="1"/>
  <c r="D77" i="1" s="1"/>
  <c r="D88" i="1" s="1"/>
  <c r="D99" i="1" s="1"/>
  <c r="D110" i="1" s="1"/>
  <c r="D35" i="1"/>
  <c r="D46" i="1" s="1"/>
  <c r="D57" i="1" s="1"/>
  <c r="D68" i="1" s="1"/>
  <c r="D79" i="1" s="1"/>
  <c r="D90" i="1" s="1"/>
  <c r="D101" i="1" s="1"/>
  <c r="E36" i="1"/>
  <c r="E47" i="1" s="1"/>
  <c r="E58" i="1" s="1"/>
  <c r="E69" i="1" s="1"/>
  <c r="E80" i="1" s="1"/>
  <c r="E91" i="1" s="1"/>
  <c r="E102" i="1" s="1"/>
  <c r="E37" i="1"/>
  <c r="E48" i="1" s="1"/>
  <c r="E59" i="1" s="1"/>
  <c r="E70" i="1" s="1"/>
  <c r="E81" i="1" s="1"/>
  <c r="E92" i="1" s="1"/>
  <c r="E103" i="1" s="1"/>
  <c r="E38" i="1"/>
  <c r="E49" i="1" s="1"/>
  <c r="E60" i="1" s="1"/>
  <c r="E71" i="1" s="1"/>
  <c r="E82" i="1" s="1"/>
  <c r="E93" i="1" s="1"/>
  <c r="E104" i="1" s="1"/>
  <c r="E39" i="1"/>
  <c r="E50" i="1" s="1"/>
  <c r="E61" i="1" s="1"/>
  <c r="E72" i="1" s="1"/>
  <c r="E83" i="1" s="1"/>
  <c r="E94" i="1" s="1"/>
  <c r="E105" i="1" s="1"/>
  <c r="E40" i="1"/>
  <c r="E51" i="1" s="1"/>
  <c r="E62" i="1" s="1"/>
  <c r="E73" i="1" s="1"/>
  <c r="E84" i="1" s="1"/>
  <c r="E95" i="1" s="1"/>
  <c r="E106" i="1" s="1"/>
  <c r="E41" i="1"/>
  <c r="E52" i="1" s="1"/>
  <c r="E63" i="1" s="1"/>
  <c r="E74" i="1" s="1"/>
  <c r="E85" i="1" s="1"/>
  <c r="E96" i="1" s="1"/>
  <c r="E107" i="1" s="1"/>
  <c r="E42" i="1"/>
  <c r="E53" i="1" s="1"/>
  <c r="E64" i="1" s="1"/>
  <c r="E75" i="1" s="1"/>
  <c r="E86" i="1" s="1"/>
  <c r="E97" i="1" s="1"/>
  <c r="E108" i="1" s="1"/>
  <c r="E43" i="1"/>
  <c r="E54" i="1" s="1"/>
  <c r="E65" i="1" s="1"/>
  <c r="E76" i="1" s="1"/>
  <c r="E87" i="1" s="1"/>
  <c r="E98" i="1" s="1"/>
  <c r="E109" i="1" s="1"/>
  <c r="E44" i="1"/>
  <c r="E55" i="1" s="1"/>
  <c r="E66" i="1" s="1"/>
  <c r="E77" i="1" s="1"/>
  <c r="E88" i="1" s="1"/>
  <c r="E99" i="1" s="1"/>
  <c r="E110" i="1" s="1"/>
  <c r="E35" i="1"/>
  <c r="E46" i="1" s="1"/>
  <c r="E57" i="1" s="1"/>
  <c r="E68" i="1" s="1"/>
  <c r="E79" i="1" s="1"/>
  <c r="E90" i="1" s="1"/>
  <c r="E101" i="1" s="1"/>
  <c r="H190" i="1" l="1"/>
  <c r="H191" i="1"/>
  <c r="H192" i="1"/>
  <c r="H193" i="1"/>
  <c r="H194" i="1"/>
  <c r="H195" i="1"/>
  <c r="H196" i="1"/>
  <c r="H197" i="1"/>
  <c r="H198" i="1"/>
  <c r="H189" i="1"/>
  <c r="H179" i="1"/>
  <c r="H180" i="1"/>
  <c r="H181" i="1"/>
  <c r="H182" i="1"/>
  <c r="H183" i="1"/>
  <c r="H184" i="1"/>
  <c r="H185" i="1"/>
  <c r="H186" i="1"/>
  <c r="H187" i="1"/>
  <c r="H178" i="1"/>
  <c r="H168" i="1"/>
  <c r="H169" i="1"/>
  <c r="H170" i="1"/>
  <c r="H171" i="1"/>
  <c r="H172" i="1"/>
  <c r="H173" i="1"/>
  <c r="H174" i="1"/>
  <c r="H175" i="1"/>
  <c r="H176" i="1"/>
  <c r="H167" i="1"/>
  <c r="H157" i="1"/>
  <c r="H159" i="1"/>
  <c r="H160" i="1"/>
  <c r="H161" i="1"/>
  <c r="H162" i="1"/>
  <c r="H163" i="1"/>
  <c r="H164" i="1"/>
  <c r="H165" i="1"/>
  <c r="H156" i="1"/>
  <c r="H158" i="1"/>
  <c r="H146" i="1"/>
  <c r="H147" i="1"/>
  <c r="H148" i="1"/>
  <c r="H149" i="1"/>
  <c r="H152" i="1"/>
  <c r="H153" i="1"/>
  <c r="H154" i="1"/>
  <c r="H145" i="1"/>
  <c r="H150" i="1"/>
  <c r="H151" i="1"/>
  <c r="H138" i="1"/>
  <c r="H135" i="1"/>
  <c r="H140" i="1"/>
  <c r="H142" i="1"/>
  <c r="H143" i="1"/>
  <c r="H134" i="1"/>
  <c r="H136" i="1"/>
  <c r="H139" i="1"/>
  <c r="H141" i="1"/>
  <c r="H137" i="1"/>
  <c r="H124" i="1"/>
  <c r="H125" i="1"/>
  <c r="H126" i="1"/>
  <c r="H127" i="1"/>
  <c r="H128" i="1"/>
  <c r="H129" i="1"/>
  <c r="H130" i="1"/>
  <c r="H131" i="1"/>
  <c r="H132" i="1"/>
  <c r="H123" i="1"/>
  <c r="H113" i="1"/>
  <c r="H114" i="1"/>
  <c r="H115" i="1"/>
  <c r="H116" i="1"/>
  <c r="H117" i="1"/>
  <c r="H118" i="1"/>
  <c r="H119" i="1"/>
  <c r="H120" i="1"/>
  <c r="H121" i="1"/>
  <c r="H112" i="1"/>
  <c r="H102" i="1"/>
  <c r="H104" i="1"/>
  <c r="H105" i="1"/>
  <c r="H106" i="1"/>
  <c r="H107" i="1"/>
  <c r="H109" i="1"/>
  <c r="H101" i="1"/>
  <c r="H103" i="1"/>
  <c r="H108" i="1"/>
  <c r="H110" i="1"/>
  <c r="H91" i="1"/>
  <c r="H92" i="1"/>
  <c r="H93" i="1"/>
  <c r="H94" i="1"/>
  <c r="H95" i="1"/>
  <c r="H96" i="1"/>
  <c r="H97" i="1"/>
  <c r="H98" i="1"/>
  <c r="H99" i="1"/>
  <c r="H90" i="1"/>
  <c r="H80" i="1"/>
  <c r="H81" i="1"/>
  <c r="H82" i="1"/>
  <c r="H83" i="1"/>
  <c r="H84" i="1"/>
  <c r="H85" i="1"/>
  <c r="H86" i="1"/>
  <c r="H87" i="1"/>
  <c r="H88" i="1"/>
  <c r="H79" i="1"/>
  <c r="H69" i="1"/>
  <c r="H70" i="1"/>
  <c r="H71" i="1"/>
  <c r="H72" i="1"/>
  <c r="H73" i="1"/>
  <c r="H74" i="1"/>
  <c r="H75" i="1"/>
  <c r="H76" i="1"/>
  <c r="H77" i="1"/>
  <c r="H68" i="1"/>
  <c r="H58" i="1"/>
  <c r="H59" i="1"/>
  <c r="H60" i="1"/>
  <c r="H61" i="1"/>
  <c r="H62" i="1"/>
  <c r="H63" i="1"/>
  <c r="H64" i="1"/>
  <c r="H65" i="1"/>
  <c r="H66" i="1"/>
  <c r="H57" i="1"/>
  <c r="H32" i="1"/>
  <c r="H24" i="1"/>
  <c r="H33" i="1"/>
  <c r="H31" i="1"/>
  <c r="H30" i="1"/>
  <c r="H29" i="1"/>
  <c r="H25" i="1"/>
  <c r="H28" i="1"/>
  <c r="H27" i="1"/>
  <c r="H26" i="1"/>
  <c r="H47" i="1"/>
  <c r="H48" i="1"/>
  <c r="H49" i="1"/>
  <c r="H50" i="1"/>
  <c r="H51" i="1"/>
  <c r="H52" i="1"/>
  <c r="H53" i="1"/>
  <c r="H54" i="1"/>
  <c r="H55" i="1"/>
  <c r="H46" i="1"/>
  <c r="H39" i="1"/>
  <c r="H36" i="1"/>
  <c r="H38" i="1"/>
  <c r="H37" i="1"/>
  <c r="H40" i="1"/>
  <c r="H41" i="1"/>
  <c r="H42" i="1"/>
  <c r="H43" i="1"/>
  <c r="H44" i="1"/>
  <c r="H35" i="1"/>
</calcChain>
</file>

<file path=xl/sharedStrings.xml><?xml version="1.0" encoding="utf-8"?>
<sst xmlns="http://schemas.openxmlformats.org/spreadsheetml/2006/main" count="108" uniqueCount="107">
  <si>
    <t>CH0</t>
  </si>
  <si>
    <t>CH1</t>
  </si>
  <si>
    <t>CH3</t>
  </si>
  <si>
    <t>CH4</t>
  </si>
  <si>
    <t>CH5</t>
  </si>
  <si>
    <t>CH6</t>
  </si>
  <si>
    <t>CH7</t>
  </si>
  <si>
    <t>CH9</t>
  </si>
  <si>
    <t>Latch 1</t>
  </si>
  <si>
    <t>Latch 2</t>
  </si>
  <si>
    <t>IO</t>
  </si>
  <si>
    <t>CH2</t>
  </si>
  <si>
    <t>Q</t>
  </si>
  <si>
    <t>CH8</t>
  </si>
  <si>
    <t>CH10</t>
  </si>
  <si>
    <t>CH11</t>
  </si>
  <si>
    <t>CH12</t>
  </si>
  <si>
    <t>CH13</t>
  </si>
  <si>
    <t>CH14</t>
  </si>
  <si>
    <t>CH15</t>
  </si>
  <si>
    <t>Latch</t>
  </si>
  <si>
    <t>BUS</t>
  </si>
  <si>
    <t>CH</t>
  </si>
  <si>
    <t>Resistor</t>
  </si>
  <si>
    <t>Channel</t>
  </si>
  <si>
    <t>Relay Data</t>
  </si>
  <si>
    <t>Resistance Value Set</t>
  </si>
  <si>
    <t>Relay Data Bits</t>
  </si>
  <si>
    <t>Channel = 11</t>
  </si>
  <si>
    <t>Resistance_code = 1023</t>
  </si>
  <si>
    <t>Resistance = 1023 × 0.5</t>
  </si>
  <si>
    <t xml:space="preserve">             = 511.5 Ω</t>
  </si>
  <si>
    <t>Resitance Code = Rsistance value / 0.5</t>
  </si>
  <si>
    <r>
      <t xml:space="preserve">The disadvantage is that </t>
    </r>
    <r>
      <rPr>
        <b/>
        <sz val="11"/>
        <color theme="1"/>
        <rFont val="Aptos Narrow"/>
        <family val="2"/>
        <scheme val="minor"/>
      </rPr>
      <t>all 16 channels temporarily disconnect</t>
    </r>
    <r>
      <rPr>
        <sz val="11"/>
        <color theme="1"/>
        <rFont val="Aptos Narrow"/>
        <family val="2"/>
        <scheme val="minor"/>
      </rPr>
      <t xml:space="preserve"> during an update.</t>
    </r>
  </si>
  <si>
    <t>because the resistance network is distributed across multiple latches, CH5 could involve:</t>
  </si>
  <si>
    <t>Latch 4</t>
  </si>
  <si>
    <t>Latch 5</t>
  </si>
  <si>
    <t>Latch 7</t>
  </si>
  <si>
    <t xml:space="preserve">send Ack </t>
  </si>
  <si>
    <t>55 Chnumber to PC</t>
  </si>
  <si>
    <t>L1_DATA  = shadow(39 downto 32)  &amp; shadow(7 downto 0);</t>
  </si>
  <si>
    <t>L2_DATA  = shadow(55 downto 48)  &amp; shadow(23 downto 16);</t>
  </si>
  <si>
    <t>L3_DATA  = shadow(31 downto 24)  &amp; shadow(15 downto 8);</t>
  </si>
  <si>
    <t>L4_DATA  = shadow(87 downto 80)  &amp; shadow(71 downto 64);</t>
  </si>
  <si>
    <t>L5_DATA  = shadow(119 downto 112) &amp; shadow(103 downto 96);</t>
  </si>
  <si>
    <t>L6_DATA  = shadow(63 downto 56)  &amp; shadow(47 downto 40);</t>
  </si>
  <si>
    <t>L7_DATA  = shadow(151 downto 144) &amp; shadow(135 downto 128);</t>
  </si>
  <si>
    <t>L8_DATA  = shadow(95 downto 88)  &amp; shadow(79 downto 72);</t>
  </si>
  <si>
    <t>L9_DATA  = shadow(127 downto 120) &amp; shadow(111 downto 104);</t>
  </si>
  <si>
    <t>L10_DATA = shadow(159 downto 152) &amp; shadow(143 downto 136);</t>
  </si>
  <si>
    <t>Shadow index = INDEX = (9 - R_BIT) × 16 + CHANNEL</t>
  </si>
  <si>
    <t>Resistance</t>
  </si>
  <si>
    <t>256 Ω</t>
  </si>
  <si>
    <t>128 Ω</t>
  </si>
  <si>
    <t>64 Ω</t>
  </si>
  <si>
    <t>32 Ω</t>
  </si>
  <si>
    <t>16 Ω</t>
  </si>
  <si>
    <t>8 Ω</t>
  </si>
  <si>
    <t>4 Ω</t>
  </si>
  <si>
    <t>2 Ω</t>
  </si>
  <si>
    <t>1 Ω</t>
  </si>
  <si>
    <t>0.5 Ω</t>
  </si>
  <si>
    <t>Complete Shadow Data</t>
  </si>
  <si>
    <t>Q0–Q7</t>
  </si>
  <si>
    <t>Q8–Q15</t>
  </si>
  <si>
    <t>VHDL data</t>
  </si>
  <si>
    <t>L1</t>
  </si>
  <si>
    <t>IO 0–7</t>
  </si>
  <si>
    <t>IO 32–39</t>
  </si>
  <si>
    <r>
      <t>shadow(7 downto 0)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shadow(39 downto 32)</t>
    </r>
  </si>
  <si>
    <t>L2</t>
  </si>
  <si>
    <t>IO 16–23</t>
  </si>
  <si>
    <t>IO 48–55</t>
  </si>
  <si>
    <r>
      <t>shadow(23 downto 16)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shadow(55 downto 48)</t>
    </r>
  </si>
  <si>
    <t>L3</t>
  </si>
  <si>
    <t>IO 8–15</t>
  </si>
  <si>
    <t>IO 24–31</t>
  </si>
  <si>
    <r>
      <t>shadow(15 downto 8)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shadow(31 downto 24)</t>
    </r>
  </si>
  <si>
    <t>L4</t>
  </si>
  <si>
    <t>IO 64–71</t>
  </si>
  <si>
    <t>IO 80–87</t>
  </si>
  <si>
    <r>
      <t>shadow(71 downto 64)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shadow(87 downto 80)</t>
    </r>
  </si>
  <si>
    <t>L5</t>
  </si>
  <si>
    <t>IO 96–103</t>
  </si>
  <si>
    <t>IO 112–119</t>
  </si>
  <si>
    <r>
      <t>shadow(103 downto 96)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shadow(119 downto 112)</t>
    </r>
  </si>
  <si>
    <t>L6</t>
  </si>
  <si>
    <t>IO 40–47</t>
  </si>
  <si>
    <t>IO 56–63</t>
  </si>
  <si>
    <r>
      <t>shadow(47 downto 40)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shadow(63 downto 56)</t>
    </r>
  </si>
  <si>
    <t>L7</t>
  </si>
  <si>
    <t>IO 128–135</t>
  </si>
  <si>
    <t>IO 144–151</t>
  </si>
  <si>
    <r>
      <t>shadow(135 downto 128)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shadow(151 downto 144)</t>
    </r>
  </si>
  <si>
    <t>L8</t>
  </si>
  <si>
    <t>IO 72–79</t>
  </si>
  <si>
    <t>IO 88–95</t>
  </si>
  <si>
    <r>
      <t>shadow(79 downto 72)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shadow(95 downto 88)</t>
    </r>
  </si>
  <si>
    <t>L9</t>
  </si>
  <si>
    <t>IO 104–111</t>
  </si>
  <si>
    <t>IO 120–127</t>
  </si>
  <si>
    <r>
      <t>shadow(111 downto 104)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shadow(127 downto 120)</t>
    </r>
  </si>
  <si>
    <t>L10</t>
  </si>
  <si>
    <t>IO 136–143</t>
  </si>
  <si>
    <t>IO 152–159</t>
  </si>
  <si>
    <r>
      <t>shadow(143 downto 136)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shadow(159 downto 152)</t>
    </r>
  </si>
  <si>
    <t>latch to shadow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</si>
</sst>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4842-7D0A-4375-8565-1847F2463DFA}">
  <dimension ref="B1:BI198"/>
  <sheetViews>
    <sheetView tabSelected="1" topLeftCell="AV1" zoomScale="121" workbookViewId="0">
      <selection activeCell="BE12" sqref="BE12"/>
    </sheetView>
  </sheetViews>
  <sheetFormatPr defaultRowHeight="14.4" x14ac:dyDescent="0.3"/>
  <cols>
    <col min="2" max="2" width="6.5546875" bestFit="1" customWidth="1"/>
    <col min="3" max="3" width="7.6640625" bestFit="1" customWidth="1"/>
    <col min="4" max="4" width="4.5546875" bestFit="1" customWidth="1"/>
    <col min="5" max="5" width="5" bestFit="1" customWidth="1"/>
    <col min="6" max="6" width="9.77734375" bestFit="1" customWidth="1"/>
    <col min="7" max="7" width="5.77734375" bestFit="1" customWidth="1"/>
    <col min="8" max="8" width="9.5546875" bestFit="1" customWidth="1"/>
    <col min="10" max="10" width="14.21875" bestFit="1" customWidth="1"/>
    <col min="11" max="11" width="18.109375" bestFit="1" customWidth="1"/>
    <col min="12" max="12" width="14.21875" bestFit="1" customWidth="1"/>
    <col min="61" max="61" width="52.109375" customWidth="1"/>
  </cols>
  <sheetData>
    <row r="1" spans="10:61" x14ac:dyDescent="0.3">
      <c r="J1">
        <v>0</v>
      </c>
      <c r="K1">
        <v>0.5</v>
      </c>
      <c r="L1" t="str">
        <f>_xlfn.BASE(TEXT(1023-(K1/0.5),"0000000000"),2,10)</f>
        <v>1111111110</v>
      </c>
      <c r="O1" t="s">
        <v>28</v>
      </c>
      <c r="V1" t="s">
        <v>38</v>
      </c>
      <c r="AM1" t="s">
        <v>62</v>
      </c>
      <c r="BF1" t="s">
        <v>106</v>
      </c>
    </row>
    <row r="2" spans="10:61" ht="28.8" x14ac:dyDescent="0.3">
      <c r="J2">
        <v>1</v>
      </c>
      <c r="K2">
        <v>10.5</v>
      </c>
      <c r="L2" t="str">
        <f t="shared" ref="L2:L16" si="0">_xlfn.BASE(TEXT(1023-(K2/0.5),"0000000000"),2,10)</f>
        <v>1111101010</v>
      </c>
      <c r="O2" t="s">
        <v>29</v>
      </c>
      <c r="V2" t="s">
        <v>39</v>
      </c>
      <c r="Y2" t="s">
        <v>40</v>
      </c>
      <c r="AM2" s="3" t="s">
        <v>51</v>
      </c>
      <c r="AN2" s="5" t="s">
        <v>0</v>
      </c>
      <c r="AO2" s="5" t="s">
        <v>1</v>
      </c>
      <c r="AP2" s="5" t="s">
        <v>11</v>
      </c>
      <c r="AQ2" s="5" t="s">
        <v>2</v>
      </c>
      <c r="AR2" s="5" t="s">
        <v>3</v>
      </c>
      <c r="AS2" s="5" t="s">
        <v>4</v>
      </c>
      <c r="AT2" s="5" t="s">
        <v>5</v>
      </c>
      <c r="AU2" s="5" t="s">
        <v>6</v>
      </c>
      <c r="AV2" s="5" t="s">
        <v>13</v>
      </c>
      <c r="AW2" s="5" t="s">
        <v>7</v>
      </c>
      <c r="AX2" s="5" t="s">
        <v>14</v>
      </c>
      <c r="AY2" s="5" t="s">
        <v>15</v>
      </c>
      <c r="AZ2" s="5" t="s">
        <v>16</v>
      </c>
      <c r="BA2" s="5" t="s">
        <v>17</v>
      </c>
      <c r="BB2" s="5" t="s">
        <v>18</v>
      </c>
      <c r="BC2" s="5" t="s">
        <v>19</v>
      </c>
      <c r="BF2" s="3" t="s">
        <v>20</v>
      </c>
      <c r="BG2" s="3" t="s">
        <v>63</v>
      </c>
      <c r="BH2" s="3" t="s">
        <v>64</v>
      </c>
      <c r="BI2" s="3" t="s">
        <v>65</v>
      </c>
    </row>
    <row r="3" spans="10:61" ht="30" x14ac:dyDescent="0.3">
      <c r="J3">
        <v>2</v>
      </c>
      <c r="K3">
        <v>22</v>
      </c>
      <c r="L3" t="str">
        <f t="shared" si="0"/>
        <v>1111010011</v>
      </c>
      <c r="O3" t="s">
        <v>30</v>
      </c>
      <c r="AM3" s="6" t="s">
        <v>52</v>
      </c>
      <c r="AN3" s="4">
        <v>0</v>
      </c>
      <c r="AO3" s="4">
        <v>1</v>
      </c>
      <c r="AP3" s="4">
        <v>2</v>
      </c>
      <c r="AQ3" s="4">
        <v>3</v>
      </c>
      <c r="AR3" s="4">
        <v>4</v>
      </c>
      <c r="AS3" s="4">
        <v>5</v>
      </c>
      <c r="AT3" s="4">
        <v>6</v>
      </c>
      <c r="AU3" s="4">
        <v>7</v>
      </c>
      <c r="AV3" s="4">
        <v>8</v>
      </c>
      <c r="AW3" s="4">
        <v>9</v>
      </c>
      <c r="AX3" s="4">
        <v>10</v>
      </c>
      <c r="AY3" s="4">
        <v>11</v>
      </c>
      <c r="AZ3" s="4">
        <v>12</v>
      </c>
      <c r="BA3" s="4">
        <v>13</v>
      </c>
      <c r="BB3" s="4">
        <v>14</v>
      </c>
      <c r="BC3" s="4">
        <v>15</v>
      </c>
      <c r="BF3" s="6" t="s">
        <v>66</v>
      </c>
      <c r="BG3" s="6" t="s">
        <v>67</v>
      </c>
      <c r="BH3" s="6" t="s">
        <v>68</v>
      </c>
      <c r="BI3" s="7" t="s">
        <v>69</v>
      </c>
    </row>
    <row r="4" spans="10:61" ht="30" x14ac:dyDescent="0.3">
      <c r="J4">
        <v>3</v>
      </c>
      <c r="K4">
        <v>35.5</v>
      </c>
      <c r="L4" t="str">
        <f t="shared" si="0"/>
        <v>1110111000</v>
      </c>
      <c r="O4" t="s">
        <v>31</v>
      </c>
      <c r="Y4" t="s">
        <v>41</v>
      </c>
      <c r="AM4" s="6" t="s">
        <v>53</v>
      </c>
      <c r="AN4" s="4">
        <v>16</v>
      </c>
      <c r="AO4" s="4">
        <v>17</v>
      </c>
      <c r="AP4" s="4">
        <v>18</v>
      </c>
      <c r="AQ4" s="4">
        <v>19</v>
      </c>
      <c r="AR4" s="4">
        <v>20</v>
      </c>
      <c r="AS4" s="4">
        <v>21</v>
      </c>
      <c r="AT4" s="4">
        <v>22</v>
      </c>
      <c r="AU4" s="4">
        <v>23</v>
      </c>
      <c r="AV4" s="4">
        <v>24</v>
      </c>
      <c r="AW4" s="4">
        <v>25</v>
      </c>
      <c r="AX4" s="4">
        <v>26</v>
      </c>
      <c r="AY4" s="4">
        <v>27</v>
      </c>
      <c r="AZ4" s="4">
        <v>28</v>
      </c>
      <c r="BA4" s="4">
        <v>29</v>
      </c>
      <c r="BB4" s="4">
        <v>30</v>
      </c>
      <c r="BC4" s="4">
        <v>31</v>
      </c>
      <c r="BF4" s="6" t="s">
        <v>70</v>
      </c>
      <c r="BG4" s="6" t="s">
        <v>71</v>
      </c>
      <c r="BH4" s="6" t="s">
        <v>72</v>
      </c>
      <c r="BI4" s="7" t="s">
        <v>73</v>
      </c>
    </row>
    <row r="5" spans="10:61" ht="30" x14ac:dyDescent="0.3">
      <c r="J5">
        <v>4</v>
      </c>
      <c r="K5">
        <v>45</v>
      </c>
      <c r="L5" t="str">
        <f t="shared" si="0"/>
        <v>1110100101</v>
      </c>
      <c r="AM5" s="6" t="s">
        <v>54</v>
      </c>
      <c r="AN5" s="4">
        <v>32</v>
      </c>
      <c r="AO5" s="4">
        <v>33</v>
      </c>
      <c r="AP5" s="4">
        <v>34</v>
      </c>
      <c r="AQ5" s="4">
        <v>35</v>
      </c>
      <c r="AR5" s="4">
        <v>36</v>
      </c>
      <c r="AS5" s="4">
        <v>37</v>
      </c>
      <c r="AT5" s="4">
        <v>38</v>
      </c>
      <c r="AU5" s="4">
        <v>39</v>
      </c>
      <c r="AV5" s="4">
        <v>40</v>
      </c>
      <c r="AW5" s="4">
        <v>41</v>
      </c>
      <c r="AX5" s="4">
        <v>42</v>
      </c>
      <c r="AY5" s="4">
        <v>43</v>
      </c>
      <c r="AZ5" s="4">
        <v>44</v>
      </c>
      <c r="BA5" s="4">
        <v>45</v>
      </c>
      <c r="BB5" s="4">
        <v>46</v>
      </c>
      <c r="BC5" s="4">
        <v>47</v>
      </c>
      <c r="BF5" s="6" t="s">
        <v>74</v>
      </c>
      <c r="BG5" s="6" t="s">
        <v>75</v>
      </c>
      <c r="BH5" s="6" t="s">
        <v>76</v>
      </c>
      <c r="BI5" s="7" t="s">
        <v>77</v>
      </c>
    </row>
    <row r="6" spans="10:61" ht="30" x14ac:dyDescent="0.3">
      <c r="J6">
        <v>5</v>
      </c>
      <c r="K6">
        <v>51.5</v>
      </c>
      <c r="L6" t="str">
        <f t="shared" si="0"/>
        <v>1110011000</v>
      </c>
      <c r="O6" t="s">
        <v>32</v>
      </c>
      <c r="Y6" t="s">
        <v>42</v>
      </c>
      <c r="AM6" s="6" t="s">
        <v>55</v>
      </c>
      <c r="AN6" s="4">
        <v>48</v>
      </c>
      <c r="AO6" s="4">
        <v>49</v>
      </c>
      <c r="AP6" s="4">
        <v>50</v>
      </c>
      <c r="AQ6" s="4">
        <v>51</v>
      </c>
      <c r="AR6" s="4">
        <v>52</v>
      </c>
      <c r="AS6" s="4">
        <v>53</v>
      </c>
      <c r="AT6" s="4">
        <v>54</v>
      </c>
      <c r="AU6" s="4">
        <v>55</v>
      </c>
      <c r="AV6" s="4">
        <v>56</v>
      </c>
      <c r="AW6" s="4">
        <v>57</v>
      </c>
      <c r="AX6" s="4">
        <v>58</v>
      </c>
      <c r="AY6" s="4">
        <v>59</v>
      </c>
      <c r="AZ6" s="4">
        <v>60</v>
      </c>
      <c r="BA6" s="4">
        <v>61</v>
      </c>
      <c r="BB6" s="4">
        <v>62</v>
      </c>
      <c r="BC6" s="4">
        <v>63</v>
      </c>
      <c r="BF6" s="6" t="s">
        <v>78</v>
      </c>
      <c r="BG6" s="6" t="s">
        <v>79</v>
      </c>
      <c r="BH6" s="6" t="s">
        <v>80</v>
      </c>
      <c r="BI6" s="7" t="s">
        <v>81</v>
      </c>
    </row>
    <row r="7" spans="10:61" ht="30" x14ac:dyDescent="0.3">
      <c r="J7">
        <v>6</v>
      </c>
      <c r="K7">
        <v>66</v>
      </c>
      <c r="L7" t="str">
        <f t="shared" si="0"/>
        <v>1101111011</v>
      </c>
      <c r="AM7" s="6" t="s">
        <v>56</v>
      </c>
      <c r="AN7" s="4">
        <v>64</v>
      </c>
      <c r="AO7" s="4">
        <v>65</v>
      </c>
      <c r="AP7" s="4">
        <v>66</v>
      </c>
      <c r="AQ7" s="4">
        <v>67</v>
      </c>
      <c r="AR7" s="4">
        <v>68</v>
      </c>
      <c r="AS7" s="4">
        <v>69</v>
      </c>
      <c r="AT7" s="4">
        <v>70</v>
      </c>
      <c r="AU7" s="4">
        <v>71</v>
      </c>
      <c r="AV7" s="4">
        <v>72</v>
      </c>
      <c r="AW7" s="4">
        <v>73</v>
      </c>
      <c r="AX7" s="4">
        <v>74</v>
      </c>
      <c r="AY7" s="4">
        <v>75</v>
      </c>
      <c r="AZ7" s="4">
        <v>76</v>
      </c>
      <c r="BA7" s="4">
        <v>77</v>
      </c>
      <c r="BB7" s="4">
        <v>78</v>
      </c>
      <c r="BC7" s="4">
        <v>79</v>
      </c>
      <c r="BF7" s="6" t="s">
        <v>82</v>
      </c>
      <c r="BG7" s="6" t="s">
        <v>83</v>
      </c>
      <c r="BH7" s="6" t="s">
        <v>84</v>
      </c>
      <c r="BI7" s="7" t="s">
        <v>85</v>
      </c>
    </row>
    <row r="8" spans="10:61" ht="30" x14ac:dyDescent="0.3">
      <c r="J8">
        <v>7</v>
      </c>
      <c r="K8">
        <v>71</v>
      </c>
      <c r="L8" t="str">
        <f t="shared" si="0"/>
        <v>1101110001</v>
      </c>
      <c r="O8" t="s">
        <v>33</v>
      </c>
      <c r="Y8" t="s">
        <v>43</v>
      </c>
      <c r="AM8" s="6" t="s">
        <v>57</v>
      </c>
      <c r="AN8" s="4">
        <v>80</v>
      </c>
      <c r="AO8" s="4">
        <v>81</v>
      </c>
      <c r="AP8" s="4">
        <v>82</v>
      </c>
      <c r="AQ8" s="4">
        <v>83</v>
      </c>
      <c r="AR8" s="4">
        <v>84</v>
      </c>
      <c r="AS8" s="4">
        <v>85</v>
      </c>
      <c r="AT8" s="4">
        <v>86</v>
      </c>
      <c r="AU8" s="4">
        <v>87</v>
      </c>
      <c r="AV8" s="4">
        <v>88</v>
      </c>
      <c r="AW8" s="4">
        <v>89</v>
      </c>
      <c r="AX8" s="4">
        <v>90</v>
      </c>
      <c r="AY8" s="4">
        <v>91</v>
      </c>
      <c r="AZ8" s="4">
        <v>92</v>
      </c>
      <c r="BA8" s="4">
        <v>93</v>
      </c>
      <c r="BB8" s="4">
        <v>94</v>
      </c>
      <c r="BC8" s="4">
        <v>95</v>
      </c>
      <c r="BF8" s="6" t="s">
        <v>86</v>
      </c>
      <c r="BG8" s="6" t="s">
        <v>87</v>
      </c>
      <c r="BH8" s="6" t="s">
        <v>88</v>
      </c>
      <c r="BI8" s="7" t="s">
        <v>89</v>
      </c>
    </row>
    <row r="9" spans="10:61" ht="30" x14ac:dyDescent="0.3">
      <c r="J9">
        <v>8</v>
      </c>
      <c r="K9">
        <v>89</v>
      </c>
      <c r="L9" t="str">
        <f t="shared" si="0"/>
        <v>1101001101</v>
      </c>
      <c r="AM9" s="6" t="s">
        <v>58</v>
      </c>
      <c r="AN9" s="4">
        <v>96</v>
      </c>
      <c r="AO9" s="4">
        <v>97</v>
      </c>
      <c r="AP9" s="4">
        <v>98</v>
      </c>
      <c r="AQ9" s="4">
        <v>99</v>
      </c>
      <c r="AR9" s="4">
        <v>100</v>
      </c>
      <c r="AS9" s="4">
        <v>101</v>
      </c>
      <c r="AT9" s="4">
        <v>102</v>
      </c>
      <c r="AU9" s="4">
        <v>103</v>
      </c>
      <c r="AV9" s="4">
        <v>104</v>
      </c>
      <c r="AW9" s="4">
        <v>105</v>
      </c>
      <c r="AX9" s="4">
        <v>106</v>
      </c>
      <c r="AY9" s="4">
        <v>107</v>
      </c>
      <c r="AZ9" s="4">
        <v>108</v>
      </c>
      <c r="BA9" s="4">
        <v>109</v>
      </c>
      <c r="BB9" s="4">
        <v>110</v>
      </c>
      <c r="BC9" s="4">
        <v>111</v>
      </c>
      <c r="BF9" s="6" t="s">
        <v>90</v>
      </c>
      <c r="BG9" s="6" t="s">
        <v>91</v>
      </c>
      <c r="BH9" s="6" t="s">
        <v>92</v>
      </c>
      <c r="BI9" s="7" t="s">
        <v>93</v>
      </c>
    </row>
    <row r="10" spans="10:61" ht="30" x14ac:dyDescent="0.3">
      <c r="J10">
        <v>9</v>
      </c>
      <c r="K10">
        <v>95.5</v>
      </c>
      <c r="L10" t="str">
        <f t="shared" si="0"/>
        <v>1101000000</v>
      </c>
      <c r="Y10" t="s">
        <v>44</v>
      </c>
      <c r="AM10" s="6" t="s">
        <v>59</v>
      </c>
      <c r="AN10" s="4">
        <v>112</v>
      </c>
      <c r="AO10" s="4">
        <v>113</v>
      </c>
      <c r="AP10" s="4">
        <v>114</v>
      </c>
      <c r="AQ10" s="4">
        <v>115</v>
      </c>
      <c r="AR10" s="4">
        <v>116</v>
      </c>
      <c r="AS10" s="4">
        <v>117</v>
      </c>
      <c r="AT10" s="4">
        <v>118</v>
      </c>
      <c r="AU10" s="4">
        <v>119</v>
      </c>
      <c r="AV10" s="4">
        <v>120</v>
      </c>
      <c r="AW10" s="4">
        <v>121</v>
      </c>
      <c r="AX10" s="4">
        <v>122</v>
      </c>
      <c r="AY10" s="4">
        <v>123</v>
      </c>
      <c r="AZ10" s="4">
        <v>124</v>
      </c>
      <c r="BA10" s="4">
        <v>125</v>
      </c>
      <c r="BB10" s="4">
        <v>126</v>
      </c>
      <c r="BC10" s="4">
        <v>127</v>
      </c>
      <c r="BF10" s="6" t="s">
        <v>94</v>
      </c>
      <c r="BG10" s="6" t="s">
        <v>95</v>
      </c>
      <c r="BH10" s="6" t="s">
        <v>96</v>
      </c>
      <c r="BI10" s="7" t="s">
        <v>97</v>
      </c>
    </row>
    <row r="11" spans="10:61" ht="30" x14ac:dyDescent="0.3">
      <c r="J11">
        <v>10</v>
      </c>
      <c r="K11">
        <v>112.5</v>
      </c>
      <c r="L11" t="str">
        <f t="shared" si="0"/>
        <v>1100011110</v>
      </c>
      <c r="O11" t="s">
        <v>34</v>
      </c>
      <c r="AM11" s="6" t="s">
        <v>60</v>
      </c>
      <c r="AN11" s="4">
        <v>128</v>
      </c>
      <c r="AO11" s="4">
        <v>129</v>
      </c>
      <c r="AP11" s="4">
        <v>130</v>
      </c>
      <c r="AQ11" s="4">
        <v>131</v>
      </c>
      <c r="AR11" s="4">
        <v>132</v>
      </c>
      <c r="AS11" s="4">
        <v>133</v>
      </c>
      <c r="AT11" s="4">
        <v>134</v>
      </c>
      <c r="AU11" s="4">
        <v>135</v>
      </c>
      <c r="AV11" s="4">
        <v>136</v>
      </c>
      <c r="AW11" s="4">
        <v>137</v>
      </c>
      <c r="AX11" s="4">
        <v>138</v>
      </c>
      <c r="AY11" s="4">
        <v>139</v>
      </c>
      <c r="AZ11" s="4">
        <v>140</v>
      </c>
      <c r="BA11" s="4">
        <v>141</v>
      </c>
      <c r="BB11" s="4">
        <v>142</v>
      </c>
      <c r="BC11" s="4">
        <v>143</v>
      </c>
      <c r="BF11" s="6" t="s">
        <v>98</v>
      </c>
      <c r="BG11" s="6" t="s">
        <v>99</v>
      </c>
      <c r="BH11" s="6" t="s">
        <v>100</v>
      </c>
      <c r="BI11" s="7" t="s">
        <v>101</v>
      </c>
    </row>
    <row r="12" spans="10:61" ht="30" x14ac:dyDescent="0.3">
      <c r="J12">
        <v>11</v>
      </c>
      <c r="K12">
        <v>169</v>
      </c>
      <c r="L12" t="str">
        <f t="shared" si="0"/>
        <v>1010101101</v>
      </c>
      <c r="O12" s="1"/>
      <c r="Y12" t="s">
        <v>45</v>
      </c>
      <c r="AM12" s="6" t="s">
        <v>61</v>
      </c>
      <c r="AN12" s="4">
        <v>144</v>
      </c>
      <c r="AO12" s="4">
        <v>145</v>
      </c>
      <c r="AP12" s="4">
        <v>146</v>
      </c>
      <c r="AQ12" s="4">
        <v>147</v>
      </c>
      <c r="AR12" s="4">
        <v>148</v>
      </c>
      <c r="AS12" s="4">
        <v>149</v>
      </c>
      <c r="AT12" s="4">
        <v>150</v>
      </c>
      <c r="AU12" s="4">
        <v>151</v>
      </c>
      <c r="AV12" s="4">
        <v>152</v>
      </c>
      <c r="AW12" s="4">
        <v>153</v>
      </c>
      <c r="AX12" s="4">
        <v>154</v>
      </c>
      <c r="AY12" s="4">
        <v>155</v>
      </c>
      <c r="AZ12" s="4">
        <v>156</v>
      </c>
      <c r="BA12" s="4">
        <v>157</v>
      </c>
      <c r="BB12" s="4">
        <v>158</v>
      </c>
      <c r="BC12" s="4">
        <v>159</v>
      </c>
      <c r="BF12" s="6" t="s">
        <v>102</v>
      </c>
      <c r="BG12" s="6" t="s">
        <v>103</v>
      </c>
      <c r="BH12" s="6" t="s">
        <v>104</v>
      </c>
      <c r="BI12" s="7" t="s">
        <v>105</v>
      </c>
    </row>
    <row r="13" spans="10:61" ht="15" x14ac:dyDescent="0.3">
      <c r="J13">
        <v>12</v>
      </c>
      <c r="K13">
        <v>250.5</v>
      </c>
      <c r="L13" t="str">
        <f t="shared" si="0"/>
        <v>1000001010</v>
      </c>
      <c r="O13" s="2" t="s">
        <v>8</v>
      </c>
    </row>
    <row r="14" spans="10:61" ht="15" x14ac:dyDescent="0.3">
      <c r="J14">
        <v>13</v>
      </c>
      <c r="K14">
        <v>321</v>
      </c>
      <c r="L14" t="str">
        <f t="shared" si="0"/>
        <v>0101111101</v>
      </c>
      <c r="O14" s="2" t="s">
        <v>9</v>
      </c>
      <c r="Y14" t="s">
        <v>46</v>
      </c>
      <c r="AG14" t="s">
        <v>50</v>
      </c>
    </row>
    <row r="15" spans="10:61" ht="15" x14ac:dyDescent="0.3">
      <c r="J15">
        <v>14</v>
      </c>
      <c r="K15">
        <v>420</v>
      </c>
      <c r="L15" t="str">
        <f t="shared" si="0"/>
        <v>0010110111</v>
      </c>
      <c r="O15" s="2" t="s">
        <v>35</v>
      </c>
    </row>
    <row r="16" spans="10:61" ht="15" x14ac:dyDescent="0.3">
      <c r="J16">
        <v>15</v>
      </c>
      <c r="K16">
        <v>500</v>
      </c>
      <c r="L16" t="str">
        <f t="shared" si="0"/>
        <v>0000010111</v>
      </c>
      <c r="O16" s="2" t="s">
        <v>36</v>
      </c>
      <c r="Y16" t="s">
        <v>47</v>
      </c>
    </row>
    <row r="17" spans="2:25" ht="15" x14ac:dyDescent="0.3">
      <c r="J17" t="s">
        <v>24</v>
      </c>
      <c r="K17" t="s">
        <v>26</v>
      </c>
      <c r="L17" t="s">
        <v>27</v>
      </c>
      <c r="O17" s="2" t="s">
        <v>37</v>
      </c>
    </row>
    <row r="18" spans="2:25" x14ac:dyDescent="0.3">
      <c r="Y18" t="s">
        <v>48</v>
      </c>
    </row>
    <row r="20" spans="2:25" x14ac:dyDescent="0.3">
      <c r="Y20" t="s">
        <v>49</v>
      </c>
    </row>
    <row r="23" spans="2:25" x14ac:dyDescent="0.3">
      <c r="B23" t="s">
        <v>21</v>
      </c>
      <c r="C23" t="s">
        <v>20</v>
      </c>
      <c r="D23" t="s">
        <v>12</v>
      </c>
      <c r="E23" t="s">
        <v>10</v>
      </c>
      <c r="F23" t="s">
        <v>23</v>
      </c>
      <c r="G23" t="s">
        <v>22</v>
      </c>
      <c r="H23" t="s">
        <v>25</v>
      </c>
    </row>
    <row r="24" spans="2:25" x14ac:dyDescent="0.3">
      <c r="B24">
        <v>1</v>
      </c>
      <c r="C24">
        <v>1</v>
      </c>
      <c r="D24">
        <v>0</v>
      </c>
      <c r="E24">
        <v>0</v>
      </c>
      <c r="F24">
        <v>256</v>
      </c>
      <c r="G24">
        <v>0</v>
      </c>
      <c r="H24">
        <f>--MID($L$1,ROWS($H$24:H24),1)</f>
        <v>1</v>
      </c>
    </row>
    <row r="25" spans="2:25" x14ac:dyDescent="0.3">
      <c r="B25">
        <v>1</v>
      </c>
      <c r="C25">
        <v>2</v>
      </c>
      <c r="D25">
        <v>0</v>
      </c>
      <c r="E25">
        <v>16</v>
      </c>
      <c r="F25">
        <v>128</v>
      </c>
      <c r="G25">
        <v>0</v>
      </c>
      <c r="H25">
        <f>--MID($L$1,ROWS($H$24:H25),1)</f>
        <v>1</v>
      </c>
    </row>
    <row r="26" spans="2:25" x14ac:dyDescent="0.3">
      <c r="B26">
        <v>1</v>
      </c>
      <c r="C26">
        <v>1</v>
      </c>
      <c r="D26">
        <v>8</v>
      </c>
      <c r="E26">
        <v>32</v>
      </c>
      <c r="F26">
        <v>64</v>
      </c>
      <c r="G26">
        <v>0</v>
      </c>
      <c r="H26">
        <f>--MID($L$1,ROWS($H$24:H26),1)</f>
        <v>1</v>
      </c>
    </row>
    <row r="27" spans="2:25" x14ac:dyDescent="0.3">
      <c r="B27">
        <v>1</v>
      </c>
      <c r="C27">
        <v>2</v>
      </c>
      <c r="D27">
        <v>8</v>
      </c>
      <c r="E27">
        <v>48</v>
      </c>
      <c r="F27">
        <v>32</v>
      </c>
      <c r="G27">
        <v>0</v>
      </c>
      <c r="H27">
        <f>--MID($L$1,ROWS($H$24:H27),1)</f>
        <v>1</v>
      </c>
    </row>
    <row r="28" spans="2:25" x14ac:dyDescent="0.3">
      <c r="B28">
        <v>2</v>
      </c>
      <c r="C28">
        <v>4</v>
      </c>
      <c r="D28">
        <v>0</v>
      </c>
      <c r="E28">
        <v>64</v>
      </c>
      <c r="F28">
        <v>16</v>
      </c>
      <c r="G28">
        <v>0</v>
      </c>
      <c r="H28">
        <f>--MID($L$1,ROWS($H$24:H28),1)</f>
        <v>1</v>
      </c>
    </row>
    <row r="29" spans="2:25" x14ac:dyDescent="0.3">
      <c r="B29">
        <v>2</v>
      </c>
      <c r="C29">
        <v>4</v>
      </c>
      <c r="D29">
        <v>8</v>
      </c>
      <c r="E29">
        <v>80</v>
      </c>
      <c r="F29">
        <v>8</v>
      </c>
      <c r="G29">
        <v>0</v>
      </c>
      <c r="H29">
        <f>--MID($L$1,ROWS($H$24:H29),1)</f>
        <v>1</v>
      </c>
    </row>
    <row r="30" spans="2:25" x14ac:dyDescent="0.3">
      <c r="B30">
        <v>2</v>
      </c>
      <c r="C30">
        <v>5</v>
      </c>
      <c r="D30">
        <v>0</v>
      </c>
      <c r="E30">
        <v>96</v>
      </c>
      <c r="F30">
        <v>4</v>
      </c>
      <c r="G30">
        <v>0</v>
      </c>
      <c r="H30">
        <f>--MID($L$1,ROWS($H$24:H30),1)</f>
        <v>1</v>
      </c>
    </row>
    <row r="31" spans="2:25" x14ac:dyDescent="0.3">
      <c r="B31">
        <v>2</v>
      </c>
      <c r="C31">
        <v>5</v>
      </c>
      <c r="D31">
        <v>8</v>
      </c>
      <c r="E31">
        <v>112</v>
      </c>
      <c r="F31">
        <v>2</v>
      </c>
      <c r="G31">
        <v>0</v>
      </c>
      <c r="H31">
        <f>--MID($L$1,ROWS($H$24:H31),1)</f>
        <v>1</v>
      </c>
    </row>
    <row r="32" spans="2:25" x14ac:dyDescent="0.3">
      <c r="B32">
        <v>3</v>
      </c>
      <c r="C32">
        <v>7</v>
      </c>
      <c r="D32">
        <v>0</v>
      </c>
      <c r="E32">
        <v>128</v>
      </c>
      <c r="F32">
        <v>1</v>
      </c>
      <c r="G32">
        <v>0</v>
      </c>
      <c r="H32">
        <f>--MID($L$1,ROWS($H$24:H32),1)</f>
        <v>1</v>
      </c>
    </row>
    <row r="33" spans="2:8" x14ac:dyDescent="0.3">
      <c r="B33">
        <v>3</v>
      </c>
      <c r="C33">
        <v>7</v>
      </c>
      <c r="D33">
        <v>8</v>
      </c>
      <c r="E33">
        <v>144</v>
      </c>
      <c r="F33">
        <v>0.5</v>
      </c>
      <c r="G33">
        <v>0</v>
      </c>
      <c r="H33">
        <f>--MID($L$1,ROWS($H$24:H33),1)</f>
        <v>0</v>
      </c>
    </row>
    <row r="35" spans="2:8" x14ac:dyDescent="0.3">
      <c r="B35">
        <v>1</v>
      </c>
      <c r="C35">
        <v>1</v>
      </c>
      <c r="D35">
        <f>D24+1</f>
        <v>1</v>
      </c>
      <c r="E35">
        <f>E24+1</f>
        <v>1</v>
      </c>
      <c r="F35">
        <v>256</v>
      </c>
      <c r="G35">
        <v>1</v>
      </c>
      <c r="H35">
        <f>--MID($L$2,ROWS($H$35:H35),1)</f>
        <v>1</v>
      </c>
    </row>
    <row r="36" spans="2:8" x14ac:dyDescent="0.3">
      <c r="B36">
        <v>1</v>
      </c>
      <c r="C36">
        <v>2</v>
      </c>
      <c r="D36">
        <f>D25+1</f>
        <v>1</v>
      </c>
      <c r="E36">
        <f>E25+1</f>
        <v>17</v>
      </c>
      <c r="F36">
        <v>128</v>
      </c>
      <c r="G36">
        <v>1</v>
      </c>
      <c r="H36">
        <f>--MID($L$2,ROWS($H$35:H36),1)</f>
        <v>1</v>
      </c>
    </row>
    <row r="37" spans="2:8" x14ac:dyDescent="0.3">
      <c r="B37">
        <v>1</v>
      </c>
      <c r="C37">
        <v>1</v>
      </c>
      <c r="D37">
        <f>D26+1</f>
        <v>9</v>
      </c>
      <c r="E37">
        <f>E26+1</f>
        <v>33</v>
      </c>
      <c r="F37">
        <v>64</v>
      </c>
      <c r="G37">
        <v>1</v>
      </c>
      <c r="H37">
        <f>--MID($L$2,ROWS($H$35:H37),1)</f>
        <v>1</v>
      </c>
    </row>
    <row r="38" spans="2:8" x14ac:dyDescent="0.3">
      <c r="B38">
        <v>1</v>
      </c>
      <c r="C38">
        <v>2</v>
      </c>
      <c r="D38">
        <f>D27+1</f>
        <v>9</v>
      </c>
      <c r="E38">
        <f>E27+1</f>
        <v>49</v>
      </c>
      <c r="F38">
        <v>32</v>
      </c>
      <c r="G38">
        <v>1</v>
      </c>
      <c r="H38">
        <f>--MID($L$2,ROWS($H$35:H38),1)</f>
        <v>1</v>
      </c>
    </row>
    <row r="39" spans="2:8" x14ac:dyDescent="0.3">
      <c r="B39">
        <v>2</v>
      </c>
      <c r="C39">
        <v>4</v>
      </c>
      <c r="D39">
        <f>D28+1</f>
        <v>1</v>
      </c>
      <c r="E39">
        <f>E28+1</f>
        <v>65</v>
      </c>
      <c r="F39">
        <v>16</v>
      </c>
      <c r="G39">
        <v>1</v>
      </c>
      <c r="H39">
        <f>--MID($L$2,ROWS($H$35:H39),1)</f>
        <v>1</v>
      </c>
    </row>
    <row r="40" spans="2:8" x14ac:dyDescent="0.3">
      <c r="B40">
        <v>2</v>
      </c>
      <c r="C40">
        <v>4</v>
      </c>
      <c r="D40">
        <f>D29+1</f>
        <v>9</v>
      </c>
      <c r="E40">
        <f>E29+1</f>
        <v>81</v>
      </c>
      <c r="F40">
        <v>8</v>
      </c>
      <c r="G40">
        <v>1</v>
      </c>
      <c r="H40">
        <f>--MID($L$2,ROWS($H$35:H40),1)</f>
        <v>0</v>
      </c>
    </row>
    <row r="41" spans="2:8" x14ac:dyDescent="0.3">
      <c r="B41">
        <v>2</v>
      </c>
      <c r="C41">
        <v>5</v>
      </c>
      <c r="D41">
        <f>D30+1</f>
        <v>1</v>
      </c>
      <c r="E41">
        <f>E30+1</f>
        <v>97</v>
      </c>
      <c r="F41">
        <v>4</v>
      </c>
      <c r="G41">
        <v>1</v>
      </c>
      <c r="H41">
        <f>--MID($L$2,ROWS($H$35:H41),1)</f>
        <v>1</v>
      </c>
    </row>
    <row r="42" spans="2:8" x14ac:dyDescent="0.3">
      <c r="B42">
        <v>2</v>
      </c>
      <c r="C42">
        <v>5</v>
      </c>
      <c r="D42">
        <f>D31+1</f>
        <v>9</v>
      </c>
      <c r="E42">
        <f>E31+1</f>
        <v>113</v>
      </c>
      <c r="F42">
        <v>2</v>
      </c>
      <c r="G42">
        <v>1</v>
      </c>
      <c r="H42">
        <f>--MID($L$2,ROWS($H$35:H42),1)</f>
        <v>0</v>
      </c>
    </row>
    <row r="43" spans="2:8" x14ac:dyDescent="0.3">
      <c r="B43">
        <v>3</v>
      </c>
      <c r="C43">
        <v>7</v>
      </c>
      <c r="D43">
        <f>D32+1</f>
        <v>1</v>
      </c>
      <c r="E43">
        <f>E32+1</f>
        <v>129</v>
      </c>
      <c r="F43">
        <v>1</v>
      </c>
      <c r="G43">
        <v>1</v>
      </c>
      <c r="H43">
        <f>--MID($L$2,ROWS($H$35:H43),1)</f>
        <v>1</v>
      </c>
    </row>
    <row r="44" spans="2:8" x14ac:dyDescent="0.3">
      <c r="B44">
        <v>3</v>
      </c>
      <c r="C44">
        <v>7</v>
      </c>
      <c r="D44">
        <f>D33+1</f>
        <v>9</v>
      </c>
      <c r="E44">
        <f>E33+1</f>
        <v>145</v>
      </c>
      <c r="F44">
        <v>0.5</v>
      </c>
      <c r="G44">
        <v>1</v>
      </c>
      <c r="H44">
        <f>--MID($L$2,ROWS($H$35:H44),1)</f>
        <v>0</v>
      </c>
    </row>
    <row r="46" spans="2:8" x14ac:dyDescent="0.3">
      <c r="B46">
        <v>1</v>
      </c>
      <c r="C46">
        <v>1</v>
      </c>
      <c r="D46">
        <f>D35+1</f>
        <v>2</v>
      </c>
      <c r="E46">
        <f>E35+1</f>
        <v>2</v>
      </c>
      <c r="F46">
        <v>256</v>
      </c>
      <c r="G46">
        <v>2</v>
      </c>
      <c r="H46">
        <f>--MID($L$3,ROWS($H$46:H46),1)</f>
        <v>1</v>
      </c>
    </row>
    <row r="47" spans="2:8" x14ac:dyDescent="0.3">
      <c r="B47">
        <v>1</v>
      </c>
      <c r="C47">
        <v>2</v>
      </c>
      <c r="D47">
        <f>D36+1</f>
        <v>2</v>
      </c>
      <c r="E47">
        <f>E36+1</f>
        <v>18</v>
      </c>
      <c r="F47">
        <v>128</v>
      </c>
      <c r="G47">
        <v>2</v>
      </c>
      <c r="H47">
        <f>--MID($L$3,ROWS($H$46:H47),1)</f>
        <v>1</v>
      </c>
    </row>
    <row r="48" spans="2:8" x14ac:dyDescent="0.3">
      <c r="B48">
        <v>1</v>
      </c>
      <c r="C48">
        <v>1</v>
      </c>
      <c r="D48">
        <f>D37+1</f>
        <v>10</v>
      </c>
      <c r="E48">
        <f>E37+1</f>
        <v>34</v>
      </c>
      <c r="F48">
        <v>64</v>
      </c>
      <c r="G48">
        <v>2</v>
      </c>
      <c r="H48">
        <f>--MID($L$3,ROWS($H$46:H48),1)</f>
        <v>1</v>
      </c>
    </row>
    <row r="49" spans="2:8" x14ac:dyDescent="0.3">
      <c r="B49">
        <v>1</v>
      </c>
      <c r="C49">
        <v>2</v>
      </c>
      <c r="D49">
        <f>D38+1</f>
        <v>10</v>
      </c>
      <c r="E49">
        <f>E38+1</f>
        <v>50</v>
      </c>
      <c r="F49">
        <v>32</v>
      </c>
      <c r="G49">
        <v>2</v>
      </c>
      <c r="H49">
        <f>--MID($L$3,ROWS($H$46:H49),1)</f>
        <v>1</v>
      </c>
    </row>
    <row r="50" spans="2:8" x14ac:dyDescent="0.3">
      <c r="B50">
        <v>2</v>
      </c>
      <c r="C50">
        <v>4</v>
      </c>
      <c r="D50">
        <f>D39+1</f>
        <v>2</v>
      </c>
      <c r="E50">
        <f>E39+1</f>
        <v>66</v>
      </c>
      <c r="F50">
        <v>16</v>
      </c>
      <c r="G50">
        <v>2</v>
      </c>
      <c r="H50">
        <f>--MID($L$3,ROWS($H$46:H50),1)</f>
        <v>0</v>
      </c>
    </row>
    <row r="51" spans="2:8" x14ac:dyDescent="0.3">
      <c r="B51">
        <v>2</v>
      </c>
      <c r="C51">
        <v>4</v>
      </c>
      <c r="D51">
        <f>D40+1</f>
        <v>10</v>
      </c>
      <c r="E51">
        <f>E40+1</f>
        <v>82</v>
      </c>
      <c r="F51">
        <v>8</v>
      </c>
      <c r="G51">
        <v>2</v>
      </c>
      <c r="H51">
        <f>--MID($L$3,ROWS($H$46:H51),1)</f>
        <v>1</v>
      </c>
    </row>
    <row r="52" spans="2:8" x14ac:dyDescent="0.3">
      <c r="B52">
        <v>2</v>
      </c>
      <c r="C52">
        <v>5</v>
      </c>
      <c r="D52">
        <f>D41+1</f>
        <v>2</v>
      </c>
      <c r="E52">
        <f>E41+1</f>
        <v>98</v>
      </c>
      <c r="F52">
        <v>4</v>
      </c>
      <c r="G52">
        <v>2</v>
      </c>
      <c r="H52">
        <f>--MID($L$3,ROWS($H$46:H52),1)</f>
        <v>0</v>
      </c>
    </row>
    <row r="53" spans="2:8" x14ac:dyDescent="0.3">
      <c r="B53">
        <v>2</v>
      </c>
      <c r="C53">
        <v>5</v>
      </c>
      <c r="D53">
        <f>D42+1</f>
        <v>10</v>
      </c>
      <c r="E53">
        <f>E42+1</f>
        <v>114</v>
      </c>
      <c r="F53">
        <v>2</v>
      </c>
      <c r="G53">
        <v>2</v>
      </c>
      <c r="H53">
        <f>--MID($L$3,ROWS($H$46:H53),1)</f>
        <v>0</v>
      </c>
    </row>
    <row r="54" spans="2:8" x14ac:dyDescent="0.3">
      <c r="B54">
        <v>3</v>
      </c>
      <c r="C54">
        <v>7</v>
      </c>
      <c r="D54">
        <f>D43+1</f>
        <v>2</v>
      </c>
      <c r="E54">
        <f>E43+1</f>
        <v>130</v>
      </c>
      <c r="F54">
        <v>1</v>
      </c>
      <c r="G54">
        <v>2</v>
      </c>
      <c r="H54">
        <f>--MID($L$3,ROWS($H$46:H54),1)</f>
        <v>1</v>
      </c>
    </row>
    <row r="55" spans="2:8" x14ac:dyDescent="0.3">
      <c r="B55">
        <v>3</v>
      </c>
      <c r="C55">
        <v>7</v>
      </c>
      <c r="D55">
        <f>D44+1</f>
        <v>10</v>
      </c>
      <c r="E55">
        <f>E44+1</f>
        <v>146</v>
      </c>
      <c r="F55">
        <v>0.5</v>
      </c>
      <c r="G55">
        <v>2</v>
      </c>
      <c r="H55">
        <f>--MID($L$3,ROWS($H$46:H55),1)</f>
        <v>1</v>
      </c>
    </row>
    <row r="57" spans="2:8" x14ac:dyDescent="0.3">
      <c r="B57">
        <v>1</v>
      </c>
      <c r="C57">
        <v>1</v>
      </c>
      <c r="D57">
        <f>D46+1</f>
        <v>3</v>
      </c>
      <c r="E57">
        <f>E46+1</f>
        <v>3</v>
      </c>
      <c r="F57">
        <v>256</v>
      </c>
      <c r="G57">
        <v>3</v>
      </c>
      <c r="H57">
        <f>--MID($L$4,ROWS($H$57:H57),1)</f>
        <v>1</v>
      </c>
    </row>
    <row r="58" spans="2:8" x14ac:dyDescent="0.3">
      <c r="B58">
        <v>1</v>
      </c>
      <c r="C58">
        <v>2</v>
      </c>
      <c r="D58">
        <f>D47+1</f>
        <v>3</v>
      </c>
      <c r="E58">
        <f>E47+1</f>
        <v>19</v>
      </c>
      <c r="F58">
        <v>128</v>
      </c>
      <c r="G58">
        <v>3</v>
      </c>
      <c r="H58">
        <f>--MID($L$4,ROWS($H$57:H58),1)</f>
        <v>1</v>
      </c>
    </row>
    <row r="59" spans="2:8" x14ac:dyDescent="0.3">
      <c r="B59">
        <v>1</v>
      </c>
      <c r="C59">
        <v>1</v>
      </c>
      <c r="D59">
        <f>D48+1</f>
        <v>11</v>
      </c>
      <c r="E59">
        <f>E48+1</f>
        <v>35</v>
      </c>
      <c r="F59">
        <v>64</v>
      </c>
      <c r="G59">
        <v>3</v>
      </c>
      <c r="H59">
        <f>--MID($L$4,ROWS($H$57:H59),1)</f>
        <v>1</v>
      </c>
    </row>
    <row r="60" spans="2:8" x14ac:dyDescent="0.3">
      <c r="B60">
        <v>1</v>
      </c>
      <c r="C60">
        <v>2</v>
      </c>
      <c r="D60">
        <f>D49+1</f>
        <v>11</v>
      </c>
      <c r="E60">
        <f>E49+1</f>
        <v>51</v>
      </c>
      <c r="F60">
        <v>32</v>
      </c>
      <c r="G60">
        <v>3</v>
      </c>
      <c r="H60">
        <f>--MID($L$4,ROWS($H$57:H60),1)</f>
        <v>0</v>
      </c>
    </row>
    <row r="61" spans="2:8" x14ac:dyDescent="0.3">
      <c r="B61">
        <v>2</v>
      </c>
      <c r="C61">
        <v>4</v>
      </c>
      <c r="D61">
        <f>D50+1</f>
        <v>3</v>
      </c>
      <c r="E61">
        <f>E50+1</f>
        <v>67</v>
      </c>
      <c r="F61">
        <v>16</v>
      </c>
      <c r="G61">
        <v>3</v>
      </c>
      <c r="H61">
        <f>--MID($L$4,ROWS($H$57:H61),1)</f>
        <v>1</v>
      </c>
    </row>
    <row r="62" spans="2:8" x14ac:dyDescent="0.3">
      <c r="B62">
        <v>2</v>
      </c>
      <c r="C62">
        <v>4</v>
      </c>
      <c r="D62">
        <f>D51+1</f>
        <v>11</v>
      </c>
      <c r="E62">
        <f>E51+1</f>
        <v>83</v>
      </c>
      <c r="F62">
        <v>8</v>
      </c>
      <c r="G62">
        <v>3</v>
      </c>
      <c r="H62">
        <f>--MID($L$4,ROWS($H$57:H62),1)</f>
        <v>1</v>
      </c>
    </row>
    <row r="63" spans="2:8" x14ac:dyDescent="0.3">
      <c r="B63">
        <v>2</v>
      </c>
      <c r="C63">
        <v>5</v>
      </c>
      <c r="D63">
        <f>D52+1</f>
        <v>3</v>
      </c>
      <c r="E63">
        <f>E52+1</f>
        <v>99</v>
      </c>
      <c r="F63">
        <v>4</v>
      </c>
      <c r="G63">
        <v>3</v>
      </c>
      <c r="H63">
        <f>--MID($L$4,ROWS($H$57:H63),1)</f>
        <v>1</v>
      </c>
    </row>
    <row r="64" spans="2:8" x14ac:dyDescent="0.3">
      <c r="B64">
        <v>2</v>
      </c>
      <c r="C64">
        <v>5</v>
      </c>
      <c r="D64">
        <f>D53+1</f>
        <v>11</v>
      </c>
      <c r="E64">
        <f>E53+1</f>
        <v>115</v>
      </c>
      <c r="F64">
        <v>2</v>
      </c>
      <c r="G64">
        <v>3</v>
      </c>
      <c r="H64">
        <f>--MID($L$4,ROWS($H$57:H64),1)</f>
        <v>0</v>
      </c>
    </row>
    <row r="65" spans="2:8" x14ac:dyDescent="0.3">
      <c r="B65">
        <v>3</v>
      </c>
      <c r="C65">
        <v>7</v>
      </c>
      <c r="D65">
        <f>D54+1</f>
        <v>3</v>
      </c>
      <c r="E65">
        <f>E54+1</f>
        <v>131</v>
      </c>
      <c r="F65">
        <v>1</v>
      </c>
      <c r="G65">
        <v>3</v>
      </c>
      <c r="H65">
        <f>--MID($L$4,ROWS($H$57:H65),1)</f>
        <v>0</v>
      </c>
    </row>
    <row r="66" spans="2:8" x14ac:dyDescent="0.3">
      <c r="B66">
        <v>3</v>
      </c>
      <c r="C66">
        <v>7</v>
      </c>
      <c r="D66">
        <f>D55+1</f>
        <v>11</v>
      </c>
      <c r="E66">
        <f>E55+1</f>
        <v>147</v>
      </c>
      <c r="F66">
        <v>0.5</v>
      </c>
      <c r="G66">
        <v>3</v>
      </c>
      <c r="H66">
        <f>--MID($L$4,ROWS($H$57:H66),1)</f>
        <v>0</v>
      </c>
    </row>
    <row r="68" spans="2:8" x14ac:dyDescent="0.3">
      <c r="B68">
        <v>1</v>
      </c>
      <c r="C68">
        <v>1</v>
      </c>
      <c r="D68">
        <f>D57+1</f>
        <v>4</v>
      </c>
      <c r="E68">
        <f>E57+1</f>
        <v>4</v>
      </c>
      <c r="F68">
        <v>256</v>
      </c>
      <c r="G68">
        <v>4</v>
      </c>
      <c r="H68">
        <f>--MID($L$5,ROWS($H$68:H68),1)</f>
        <v>1</v>
      </c>
    </row>
    <row r="69" spans="2:8" x14ac:dyDescent="0.3">
      <c r="B69">
        <v>1</v>
      </c>
      <c r="C69">
        <v>2</v>
      </c>
      <c r="D69">
        <f>D58+1</f>
        <v>4</v>
      </c>
      <c r="E69">
        <f>E58+1</f>
        <v>20</v>
      </c>
      <c r="F69">
        <v>128</v>
      </c>
      <c r="G69">
        <v>4</v>
      </c>
      <c r="H69">
        <f>--MID($L$5,ROWS($H$68:H69),1)</f>
        <v>1</v>
      </c>
    </row>
    <row r="70" spans="2:8" x14ac:dyDescent="0.3">
      <c r="B70">
        <v>1</v>
      </c>
      <c r="C70">
        <v>1</v>
      </c>
      <c r="D70">
        <f>D59+1</f>
        <v>12</v>
      </c>
      <c r="E70">
        <f>E59+1</f>
        <v>36</v>
      </c>
      <c r="F70">
        <v>64</v>
      </c>
      <c r="G70">
        <v>4</v>
      </c>
      <c r="H70">
        <f>--MID($L$5,ROWS($H$68:H70),1)</f>
        <v>1</v>
      </c>
    </row>
    <row r="71" spans="2:8" x14ac:dyDescent="0.3">
      <c r="B71">
        <v>1</v>
      </c>
      <c r="C71">
        <v>2</v>
      </c>
      <c r="D71">
        <f>D60+1</f>
        <v>12</v>
      </c>
      <c r="E71">
        <f>E60+1</f>
        <v>52</v>
      </c>
      <c r="F71">
        <v>32</v>
      </c>
      <c r="G71">
        <v>4</v>
      </c>
      <c r="H71">
        <f>--MID($L$5,ROWS($H$68:H71),1)</f>
        <v>0</v>
      </c>
    </row>
    <row r="72" spans="2:8" x14ac:dyDescent="0.3">
      <c r="B72">
        <v>2</v>
      </c>
      <c r="C72">
        <v>4</v>
      </c>
      <c r="D72">
        <f>D61+1</f>
        <v>4</v>
      </c>
      <c r="E72">
        <f>E61+1</f>
        <v>68</v>
      </c>
      <c r="F72">
        <v>16</v>
      </c>
      <c r="G72">
        <v>4</v>
      </c>
      <c r="H72">
        <f>--MID($L$5,ROWS($H$68:H72),1)</f>
        <v>1</v>
      </c>
    </row>
    <row r="73" spans="2:8" x14ac:dyDescent="0.3">
      <c r="B73">
        <v>2</v>
      </c>
      <c r="C73">
        <v>4</v>
      </c>
      <c r="D73">
        <f>D62+1</f>
        <v>12</v>
      </c>
      <c r="E73">
        <f>E62+1</f>
        <v>84</v>
      </c>
      <c r="F73">
        <v>8</v>
      </c>
      <c r="G73">
        <v>4</v>
      </c>
      <c r="H73">
        <f>--MID($L$5,ROWS($H$68:H73),1)</f>
        <v>0</v>
      </c>
    </row>
    <row r="74" spans="2:8" x14ac:dyDescent="0.3">
      <c r="B74">
        <v>2</v>
      </c>
      <c r="C74">
        <v>5</v>
      </c>
      <c r="D74">
        <f>D63+1</f>
        <v>4</v>
      </c>
      <c r="E74">
        <f>E63+1</f>
        <v>100</v>
      </c>
      <c r="F74">
        <v>4</v>
      </c>
      <c r="G74">
        <v>4</v>
      </c>
      <c r="H74">
        <f>--MID($L$5,ROWS($H$68:H74),1)</f>
        <v>0</v>
      </c>
    </row>
    <row r="75" spans="2:8" x14ac:dyDescent="0.3">
      <c r="B75">
        <v>2</v>
      </c>
      <c r="C75">
        <v>5</v>
      </c>
      <c r="D75">
        <f>D64+1</f>
        <v>12</v>
      </c>
      <c r="E75">
        <f>E64+1</f>
        <v>116</v>
      </c>
      <c r="F75">
        <v>2</v>
      </c>
      <c r="G75">
        <v>4</v>
      </c>
      <c r="H75">
        <f>--MID($L$5,ROWS($H$68:H75),1)</f>
        <v>1</v>
      </c>
    </row>
    <row r="76" spans="2:8" x14ac:dyDescent="0.3">
      <c r="B76">
        <v>3</v>
      </c>
      <c r="C76">
        <v>7</v>
      </c>
      <c r="D76">
        <f>D65+1</f>
        <v>4</v>
      </c>
      <c r="E76">
        <f>E65+1</f>
        <v>132</v>
      </c>
      <c r="F76">
        <v>1</v>
      </c>
      <c r="G76">
        <v>4</v>
      </c>
      <c r="H76">
        <f>--MID($L$5,ROWS($H$68:H76),1)</f>
        <v>0</v>
      </c>
    </row>
    <row r="77" spans="2:8" x14ac:dyDescent="0.3">
      <c r="B77">
        <v>3</v>
      </c>
      <c r="C77">
        <v>7</v>
      </c>
      <c r="D77">
        <f>D66+1</f>
        <v>12</v>
      </c>
      <c r="E77">
        <f>E66+1</f>
        <v>148</v>
      </c>
      <c r="F77">
        <v>0.5</v>
      </c>
      <c r="G77">
        <v>4</v>
      </c>
      <c r="H77">
        <f>--MID($L$5,ROWS($H$68:H77),1)</f>
        <v>1</v>
      </c>
    </row>
    <row r="79" spans="2:8" x14ac:dyDescent="0.3">
      <c r="B79">
        <v>1</v>
      </c>
      <c r="C79">
        <v>1</v>
      </c>
      <c r="D79">
        <f>D68+1</f>
        <v>5</v>
      </c>
      <c r="E79">
        <f>E68+1</f>
        <v>5</v>
      </c>
      <c r="F79">
        <v>256</v>
      </c>
      <c r="G79">
        <v>5</v>
      </c>
      <c r="H79">
        <f>--MID($L$6,ROWS($H$79:H79),1)</f>
        <v>1</v>
      </c>
    </row>
    <row r="80" spans="2:8" x14ac:dyDescent="0.3">
      <c r="B80">
        <v>1</v>
      </c>
      <c r="C80">
        <v>2</v>
      </c>
      <c r="D80">
        <f>D69+1</f>
        <v>5</v>
      </c>
      <c r="E80">
        <f>E69+1</f>
        <v>21</v>
      </c>
      <c r="F80">
        <v>128</v>
      </c>
      <c r="G80">
        <v>5</v>
      </c>
      <c r="H80">
        <f>--MID($L$6,ROWS($H$79:H80),1)</f>
        <v>1</v>
      </c>
    </row>
    <row r="81" spans="2:8" x14ac:dyDescent="0.3">
      <c r="B81">
        <v>1</v>
      </c>
      <c r="C81">
        <v>1</v>
      </c>
      <c r="D81">
        <f>D70+1</f>
        <v>13</v>
      </c>
      <c r="E81">
        <f>E70+1</f>
        <v>37</v>
      </c>
      <c r="F81">
        <v>64</v>
      </c>
      <c r="G81">
        <v>5</v>
      </c>
      <c r="H81">
        <f>--MID($L$6,ROWS($H$79:H81),1)</f>
        <v>1</v>
      </c>
    </row>
    <row r="82" spans="2:8" x14ac:dyDescent="0.3">
      <c r="B82">
        <v>1</v>
      </c>
      <c r="C82">
        <v>2</v>
      </c>
      <c r="D82">
        <f>D71+1</f>
        <v>13</v>
      </c>
      <c r="E82">
        <f>E71+1</f>
        <v>53</v>
      </c>
      <c r="F82">
        <v>32</v>
      </c>
      <c r="G82">
        <v>5</v>
      </c>
      <c r="H82">
        <f>--MID($L$6,ROWS($H$79:H82),1)</f>
        <v>0</v>
      </c>
    </row>
    <row r="83" spans="2:8" x14ac:dyDescent="0.3">
      <c r="B83">
        <v>2</v>
      </c>
      <c r="C83">
        <v>4</v>
      </c>
      <c r="D83">
        <f>D72+1</f>
        <v>5</v>
      </c>
      <c r="E83">
        <f>E72+1</f>
        <v>69</v>
      </c>
      <c r="F83">
        <v>16</v>
      </c>
      <c r="G83">
        <v>5</v>
      </c>
      <c r="H83">
        <f>--MID($L$6,ROWS($H$79:H83),1)</f>
        <v>0</v>
      </c>
    </row>
    <row r="84" spans="2:8" x14ac:dyDescent="0.3">
      <c r="B84">
        <v>2</v>
      </c>
      <c r="C84">
        <v>4</v>
      </c>
      <c r="D84">
        <f>D73+1</f>
        <v>13</v>
      </c>
      <c r="E84">
        <f>E73+1</f>
        <v>85</v>
      </c>
      <c r="F84">
        <v>8</v>
      </c>
      <c r="G84">
        <v>5</v>
      </c>
      <c r="H84">
        <f>--MID($L$6,ROWS($H$79:H84),1)</f>
        <v>1</v>
      </c>
    </row>
    <row r="85" spans="2:8" x14ac:dyDescent="0.3">
      <c r="B85">
        <v>2</v>
      </c>
      <c r="C85">
        <v>5</v>
      </c>
      <c r="D85">
        <f>D74+1</f>
        <v>5</v>
      </c>
      <c r="E85">
        <f>E74+1</f>
        <v>101</v>
      </c>
      <c r="F85">
        <v>4</v>
      </c>
      <c r="G85">
        <v>5</v>
      </c>
      <c r="H85">
        <f>--MID($L$6,ROWS($H$79:H85),1)</f>
        <v>1</v>
      </c>
    </row>
    <row r="86" spans="2:8" x14ac:dyDescent="0.3">
      <c r="B86">
        <v>2</v>
      </c>
      <c r="C86">
        <v>5</v>
      </c>
      <c r="D86">
        <f>D75+1</f>
        <v>13</v>
      </c>
      <c r="E86">
        <f>E75+1</f>
        <v>117</v>
      </c>
      <c r="F86">
        <v>2</v>
      </c>
      <c r="G86">
        <v>5</v>
      </c>
      <c r="H86">
        <f>--MID($L$6,ROWS($H$79:H86),1)</f>
        <v>0</v>
      </c>
    </row>
    <row r="87" spans="2:8" x14ac:dyDescent="0.3">
      <c r="B87">
        <v>3</v>
      </c>
      <c r="C87">
        <v>7</v>
      </c>
      <c r="D87">
        <f>D76+1</f>
        <v>5</v>
      </c>
      <c r="E87">
        <f>E76+1</f>
        <v>133</v>
      </c>
      <c r="F87">
        <v>1</v>
      </c>
      <c r="G87">
        <v>5</v>
      </c>
      <c r="H87">
        <f>--MID($L$6,ROWS($H$79:H87),1)</f>
        <v>0</v>
      </c>
    </row>
    <row r="88" spans="2:8" x14ac:dyDescent="0.3">
      <c r="B88">
        <v>3</v>
      </c>
      <c r="C88">
        <v>7</v>
      </c>
      <c r="D88">
        <f>D77+1</f>
        <v>13</v>
      </c>
      <c r="E88">
        <f>E77+1</f>
        <v>149</v>
      </c>
      <c r="F88">
        <v>0.5</v>
      </c>
      <c r="G88">
        <v>5</v>
      </c>
      <c r="H88">
        <f>--MID($L$6,ROWS($H$79:H88),1)</f>
        <v>0</v>
      </c>
    </row>
    <row r="90" spans="2:8" x14ac:dyDescent="0.3">
      <c r="B90">
        <v>1</v>
      </c>
      <c r="C90">
        <v>1</v>
      </c>
      <c r="D90">
        <f>D79+1</f>
        <v>6</v>
      </c>
      <c r="E90">
        <f>E79+1</f>
        <v>6</v>
      </c>
      <c r="F90">
        <v>256</v>
      </c>
      <c r="G90">
        <v>6</v>
      </c>
      <c r="H90">
        <f>--MID($L$7,ROWS($H$90:H90),1)</f>
        <v>1</v>
      </c>
    </row>
    <row r="91" spans="2:8" x14ac:dyDescent="0.3">
      <c r="B91">
        <v>1</v>
      </c>
      <c r="C91">
        <v>2</v>
      </c>
      <c r="D91">
        <f>D80+1</f>
        <v>6</v>
      </c>
      <c r="E91">
        <f>E80+1</f>
        <v>22</v>
      </c>
      <c r="F91">
        <v>128</v>
      </c>
      <c r="G91">
        <v>6</v>
      </c>
      <c r="H91">
        <f>--MID($L$7,ROWS($H$90:H91),1)</f>
        <v>1</v>
      </c>
    </row>
    <row r="92" spans="2:8" x14ac:dyDescent="0.3">
      <c r="B92">
        <v>1</v>
      </c>
      <c r="C92">
        <v>1</v>
      </c>
      <c r="D92">
        <f>D81+1</f>
        <v>14</v>
      </c>
      <c r="E92">
        <f>E81+1</f>
        <v>38</v>
      </c>
      <c r="F92">
        <v>64</v>
      </c>
      <c r="G92">
        <v>6</v>
      </c>
      <c r="H92">
        <f>--MID($L$7,ROWS($H$90:H92),1)</f>
        <v>0</v>
      </c>
    </row>
    <row r="93" spans="2:8" x14ac:dyDescent="0.3">
      <c r="B93">
        <v>1</v>
      </c>
      <c r="C93">
        <v>2</v>
      </c>
      <c r="D93">
        <f>D82+1</f>
        <v>14</v>
      </c>
      <c r="E93">
        <f>E82+1</f>
        <v>54</v>
      </c>
      <c r="F93">
        <v>32</v>
      </c>
      <c r="G93">
        <v>6</v>
      </c>
      <c r="H93">
        <f>--MID($L$7,ROWS($H$90:H93),1)</f>
        <v>1</v>
      </c>
    </row>
    <row r="94" spans="2:8" x14ac:dyDescent="0.3">
      <c r="B94">
        <v>2</v>
      </c>
      <c r="C94">
        <v>4</v>
      </c>
      <c r="D94">
        <f>D83+1</f>
        <v>6</v>
      </c>
      <c r="E94">
        <f>E83+1</f>
        <v>70</v>
      </c>
      <c r="F94">
        <v>16</v>
      </c>
      <c r="G94">
        <v>6</v>
      </c>
      <c r="H94">
        <f>--MID($L$7,ROWS($H$90:H94),1)</f>
        <v>1</v>
      </c>
    </row>
    <row r="95" spans="2:8" x14ac:dyDescent="0.3">
      <c r="B95">
        <v>2</v>
      </c>
      <c r="C95">
        <v>4</v>
      </c>
      <c r="D95">
        <f>D84+1</f>
        <v>14</v>
      </c>
      <c r="E95">
        <f>E84+1</f>
        <v>86</v>
      </c>
      <c r="F95">
        <v>8</v>
      </c>
      <c r="G95">
        <v>6</v>
      </c>
      <c r="H95">
        <f>--MID($L$7,ROWS($H$90:H95),1)</f>
        <v>1</v>
      </c>
    </row>
    <row r="96" spans="2:8" x14ac:dyDescent="0.3">
      <c r="B96">
        <v>2</v>
      </c>
      <c r="C96">
        <v>5</v>
      </c>
      <c r="D96">
        <f>D85+1</f>
        <v>6</v>
      </c>
      <c r="E96">
        <f>E85+1</f>
        <v>102</v>
      </c>
      <c r="F96">
        <v>4</v>
      </c>
      <c r="G96">
        <v>6</v>
      </c>
      <c r="H96">
        <f>--MID($L$7,ROWS($H$90:H96),1)</f>
        <v>1</v>
      </c>
    </row>
    <row r="97" spans="2:8" x14ac:dyDescent="0.3">
      <c r="B97">
        <v>2</v>
      </c>
      <c r="C97">
        <v>5</v>
      </c>
      <c r="D97">
        <f>D86+1</f>
        <v>14</v>
      </c>
      <c r="E97">
        <f>E86+1</f>
        <v>118</v>
      </c>
      <c r="F97">
        <v>2</v>
      </c>
      <c r="G97">
        <v>6</v>
      </c>
      <c r="H97">
        <f>--MID($L$7,ROWS($H$90:H97),1)</f>
        <v>0</v>
      </c>
    </row>
    <row r="98" spans="2:8" x14ac:dyDescent="0.3">
      <c r="B98">
        <v>3</v>
      </c>
      <c r="C98">
        <v>7</v>
      </c>
      <c r="D98">
        <f>D87+1</f>
        <v>6</v>
      </c>
      <c r="E98">
        <f>E87+1</f>
        <v>134</v>
      </c>
      <c r="F98">
        <v>1</v>
      </c>
      <c r="G98">
        <v>6</v>
      </c>
      <c r="H98">
        <f>--MID($L$7,ROWS($H$90:H98),1)</f>
        <v>1</v>
      </c>
    </row>
    <row r="99" spans="2:8" x14ac:dyDescent="0.3">
      <c r="B99">
        <v>3</v>
      </c>
      <c r="C99">
        <v>7</v>
      </c>
      <c r="D99">
        <f>D88+1</f>
        <v>14</v>
      </c>
      <c r="E99">
        <f>E88+1</f>
        <v>150</v>
      </c>
      <c r="F99">
        <v>0.5</v>
      </c>
      <c r="G99">
        <v>6</v>
      </c>
      <c r="H99">
        <f>--MID($L$7,ROWS($H$90:H99),1)</f>
        <v>1</v>
      </c>
    </row>
    <row r="101" spans="2:8" x14ac:dyDescent="0.3">
      <c r="B101">
        <v>1</v>
      </c>
      <c r="C101">
        <v>1</v>
      </c>
      <c r="D101">
        <f>D90+1</f>
        <v>7</v>
      </c>
      <c r="E101">
        <f>E90+1</f>
        <v>7</v>
      </c>
      <c r="F101">
        <v>256</v>
      </c>
      <c r="G101">
        <v>7</v>
      </c>
      <c r="H101">
        <f>--MID($L$8,ROWS($H$101:H101),1)</f>
        <v>1</v>
      </c>
    </row>
    <row r="102" spans="2:8" x14ac:dyDescent="0.3">
      <c r="B102">
        <v>1</v>
      </c>
      <c r="C102">
        <v>2</v>
      </c>
      <c r="D102">
        <f>D91+1</f>
        <v>7</v>
      </c>
      <c r="E102">
        <f>E91+1</f>
        <v>23</v>
      </c>
      <c r="F102">
        <v>128</v>
      </c>
      <c r="G102">
        <v>7</v>
      </c>
      <c r="H102">
        <f>--MID($L$8,ROWS($H$101:H102),1)</f>
        <v>1</v>
      </c>
    </row>
    <row r="103" spans="2:8" x14ac:dyDescent="0.3">
      <c r="B103">
        <v>1</v>
      </c>
      <c r="C103">
        <v>1</v>
      </c>
      <c r="D103">
        <f>D92+1</f>
        <v>15</v>
      </c>
      <c r="E103">
        <f>E92+1</f>
        <v>39</v>
      </c>
      <c r="F103">
        <v>64</v>
      </c>
      <c r="G103">
        <v>7</v>
      </c>
      <c r="H103">
        <f>--MID($L$8,ROWS($H$101:H103),1)</f>
        <v>0</v>
      </c>
    </row>
    <row r="104" spans="2:8" x14ac:dyDescent="0.3">
      <c r="B104">
        <v>1</v>
      </c>
      <c r="C104">
        <v>2</v>
      </c>
      <c r="D104">
        <f>D93+1</f>
        <v>15</v>
      </c>
      <c r="E104">
        <f>E93+1</f>
        <v>55</v>
      </c>
      <c r="F104">
        <v>32</v>
      </c>
      <c r="G104">
        <v>7</v>
      </c>
      <c r="H104">
        <f>--MID($L$8,ROWS($H$101:H104),1)</f>
        <v>1</v>
      </c>
    </row>
    <row r="105" spans="2:8" x14ac:dyDescent="0.3">
      <c r="B105">
        <v>2</v>
      </c>
      <c r="C105">
        <v>4</v>
      </c>
      <c r="D105">
        <f>D94+1</f>
        <v>7</v>
      </c>
      <c r="E105">
        <f>E94+1</f>
        <v>71</v>
      </c>
      <c r="F105">
        <v>16</v>
      </c>
      <c r="G105">
        <v>7</v>
      </c>
      <c r="H105">
        <f>--MID($L$8,ROWS($H$101:H105),1)</f>
        <v>1</v>
      </c>
    </row>
    <row r="106" spans="2:8" x14ac:dyDescent="0.3">
      <c r="B106">
        <v>2</v>
      </c>
      <c r="C106">
        <v>4</v>
      </c>
      <c r="D106">
        <f>D95+1</f>
        <v>15</v>
      </c>
      <c r="E106">
        <f>E95+1</f>
        <v>87</v>
      </c>
      <c r="F106">
        <v>8</v>
      </c>
      <c r="G106">
        <v>7</v>
      </c>
      <c r="H106">
        <f>--MID($L$8,ROWS($H$101:H106),1)</f>
        <v>1</v>
      </c>
    </row>
    <row r="107" spans="2:8" x14ac:dyDescent="0.3">
      <c r="B107">
        <v>2</v>
      </c>
      <c r="C107">
        <v>5</v>
      </c>
      <c r="D107">
        <f>D96+1</f>
        <v>7</v>
      </c>
      <c r="E107">
        <f>E96+1</f>
        <v>103</v>
      </c>
      <c r="F107">
        <v>4</v>
      </c>
      <c r="G107">
        <v>7</v>
      </c>
      <c r="H107">
        <f>--MID($L$8,ROWS($H$101:H107),1)</f>
        <v>0</v>
      </c>
    </row>
    <row r="108" spans="2:8" x14ac:dyDescent="0.3">
      <c r="B108">
        <v>2</v>
      </c>
      <c r="C108">
        <v>5</v>
      </c>
      <c r="D108">
        <f>D97+1</f>
        <v>15</v>
      </c>
      <c r="E108">
        <f>E97+1</f>
        <v>119</v>
      </c>
      <c r="F108">
        <v>2</v>
      </c>
      <c r="G108">
        <v>7</v>
      </c>
      <c r="H108">
        <f>--MID($L$8,ROWS($H$101:H108),1)</f>
        <v>0</v>
      </c>
    </row>
    <row r="109" spans="2:8" x14ac:dyDescent="0.3">
      <c r="B109">
        <v>3</v>
      </c>
      <c r="C109">
        <v>7</v>
      </c>
      <c r="D109">
        <f>D98+1</f>
        <v>7</v>
      </c>
      <c r="E109">
        <f>E98+1</f>
        <v>135</v>
      </c>
      <c r="F109">
        <v>1</v>
      </c>
      <c r="G109">
        <v>7</v>
      </c>
      <c r="H109">
        <f>--MID($L$8,ROWS($H$101:H109),1)</f>
        <v>0</v>
      </c>
    </row>
    <row r="110" spans="2:8" x14ac:dyDescent="0.3">
      <c r="B110">
        <v>3</v>
      </c>
      <c r="C110">
        <v>7</v>
      </c>
      <c r="D110">
        <f>D99+1</f>
        <v>15</v>
      </c>
      <c r="E110">
        <f>E99+1</f>
        <v>151</v>
      </c>
      <c r="F110">
        <v>0.5</v>
      </c>
      <c r="G110">
        <v>7</v>
      </c>
      <c r="H110">
        <f>--MID($L$8,ROWS($H$101:H110),1)</f>
        <v>1</v>
      </c>
    </row>
    <row r="112" spans="2:8" x14ac:dyDescent="0.3">
      <c r="B112">
        <v>1</v>
      </c>
      <c r="C112">
        <v>3</v>
      </c>
      <c r="D112">
        <v>0</v>
      </c>
      <c r="E112">
        <f>E24+8</f>
        <v>8</v>
      </c>
      <c r="F112">
        <v>256</v>
      </c>
      <c r="G112">
        <v>8</v>
      </c>
      <c r="H112">
        <f>--MID($L$9,ROWS($H$112:H112),1)</f>
        <v>1</v>
      </c>
    </row>
    <row r="113" spans="2:8" x14ac:dyDescent="0.3">
      <c r="B113">
        <v>1</v>
      </c>
      <c r="C113">
        <v>3</v>
      </c>
      <c r="D113">
        <v>8</v>
      </c>
      <c r="E113">
        <f>E25+8</f>
        <v>24</v>
      </c>
      <c r="F113">
        <v>128</v>
      </c>
      <c r="G113">
        <v>8</v>
      </c>
      <c r="H113">
        <f>--MID($L$9,ROWS($H$112:H113),1)</f>
        <v>1</v>
      </c>
    </row>
    <row r="114" spans="2:8" x14ac:dyDescent="0.3">
      <c r="B114">
        <v>2</v>
      </c>
      <c r="C114">
        <v>6</v>
      </c>
      <c r="D114">
        <v>0</v>
      </c>
      <c r="E114">
        <f>E26+8</f>
        <v>40</v>
      </c>
      <c r="F114">
        <v>64</v>
      </c>
      <c r="G114">
        <v>8</v>
      </c>
      <c r="H114">
        <f>--MID($L$9,ROWS($H$112:H114),1)</f>
        <v>0</v>
      </c>
    </row>
    <row r="115" spans="2:8" x14ac:dyDescent="0.3">
      <c r="B115">
        <v>2</v>
      </c>
      <c r="C115">
        <v>6</v>
      </c>
      <c r="D115">
        <v>8</v>
      </c>
      <c r="E115">
        <f>E27+8</f>
        <v>56</v>
      </c>
      <c r="F115">
        <v>32</v>
      </c>
      <c r="G115">
        <v>8</v>
      </c>
      <c r="H115">
        <f>--MID($L$9,ROWS($H$112:H115),1)</f>
        <v>1</v>
      </c>
    </row>
    <row r="116" spans="2:8" x14ac:dyDescent="0.3">
      <c r="B116">
        <v>3</v>
      </c>
      <c r="C116">
        <v>8</v>
      </c>
      <c r="D116">
        <v>0</v>
      </c>
      <c r="E116">
        <f>E28+8</f>
        <v>72</v>
      </c>
      <c r="F116">
        <v>16</v>
      </c>
      <c r="G116">
        <v>8</v>
      </c>
      <c r="H116">
        <f>--MID($L$9,ROWS($H$112:H116),1)</f>
        <v>0</v>
      </c>
    </row>
    <row r="117" spans="2:8" x14ac:dyDescent="0.3">
      <c r="B117">
        <v>3</v>
      </c>
      <c r="C117">
        <v>8</v>
      </c>
      <c r="D117">
        <v>8</v>
      </c>
      <c r="E117">
        <f>E29+8</f>
        <v>88</v>
      </c>
      <c r="F117">
        <v>8</v>
      </c>
      <c r="G117">
        <v>8</v>
      </c>
      <c r="H117">
        <f>--MID($L$9,ROWS($H$112:H117),1)</f>
        <v>0</v>
      </c>
    </row>
    <row r="118" spans="2:8" x14ac:dyDescent="0.3">
      <c r="B118">
        <v>3</v>
      </c>
      <c r="C118">
        <v>9</v>
      </c>
      <c r="D118">
        <v>0</v>
      </c>
      <c r="E118">
        <f>E30+8</f>
        <v>104</v>
      </c>
      <c r="F118">
        <v>4</v>
      </c>
      <c r="G118">
        <v>8</v>
      </c>
      <c r="H118">
        <f>--MID($L$9,ROWS($H$112:H118),1)</f>
        <v>1</v>
      </c>
    </row>
    <row r="119" spans="2:8" x14ac:dyDescent="0.3">
      <c r="B119">
        <v>3</v>
      </c>
      <c r="C119">
        <v>9</v>
      </c>
      <c r="D119">
        <v>8</v>
      </c>
      <c r="E119">
        <f>E31+8</f>
        <v>120</v>
      </c>
      <c r="F119">
        <v>2</v>
      </c>
      <c r="G119">
        <v>8</v>
      </c>
      <c r="H119">
        <f>--MID($L$9,ROWS($H$112:H119),1)</f>
        <v>1</v>
      </c>
    </row>
    <row r="120" spans="2:8" x14ac:dyDescent="0.3">
      <c r="B120">
        <v>3</v>
      </c>
      <c r="C120">
        <v>10</v>
      </c>
      <c r="D120">
        <v>0</v>
      </c>
      <c r="E120">
        <f>E32+8</f>
        <v>136</v>
      </c>
      <c r="F120">
        <v>1</v>
      </c>
      <c r="G120">
        <v>8</v>
      </c>
      <c r="H120">
        <f>--MID($L$9,ROWS($H$112:H120),1)</f>
        <v>0</v>
      </c>
    </row>
    <row r="121" spans="2:8" x14ac:dyDescent="0.3">
      <c r="B121">
        <v>3</v>
      </c>
      <c r="C121">
        <v>10</v>
      </c>
      <c r="D121">
        <v>8</v>
      </c>
      <c r="E121">
        <f>E33+8</f>
        <v>152</v>
      </c>
      <c r="F121">
        <v>0.5</v>
      </c>
      <c r="G121">
        <v>8</v>
      </c>
      <c r="H121">
        <f>--MID($L$9,ROWS($H$112:H121),1)</f>
        <v>1</v>
      </c>
    </row>
    <row r="123" spans="2:8" x14ac:dyDescent="0.3">
      <c r="B123">
        <v>1</v>
      </c>
      <c r="C123">
        <v>3</v>
      </c>
      <c r="D123">
        <f>D112+1</f>
        <v>1</v>
      </c>
      <c r="E123">
        <f>E112+1</f>
        <v>9</v>
      </c>
      <c r="F123">
        <v>256</v>
      </c>
      <c r="G123">
        <v>9</v>
      </c>
      <c r="H123">
        <f>--MID($L$10,ROWS($H$123:H123),1)</f>
        <v>1</v>
      </c>
    </row>
    <row r="124" spans="2:8" x14ac:dyDescent="0.3">
      <c r="B124">
        <v>1</v>
      </c>
      <c r="C124">
        <v>3</v>
      </c>
      <c r="D124">
        <f>D113+1</f>
        <v>9</v>
      </c>
      <c r="E124">
        <f>E113+1</f>
        <v>25</v>
      </c>
      <c r="F124">
        <v>128</v>
      </c>
      <c r="G124">
        <v>9</v>
      </c>
      <c r="H124">
        <f>--MID($L$10,ROWS($H$123:H124),1)</f>
        <v>1</v>
      </c>
    </row>
    <row r="125" spans="2:8" x14ac:dyDescent="0.3">
      <c r="B125">
        <v>2</v>
      </c>
      <c r="C125">
        <v>6</v>
      </c>
      <c r="D125">
        <f>D114+1</f>
        <v>1</v>
      </c>
      <c r="E125">
        <f>E114+1</f>
        <v>41</v>
      </c>
      <c r="F125">
        <v>64</v>
      </c>
      <c r="G125">
        <v>9</v>
      </c>
      <c r="H125">
        <f>--MID($L$10,ROWS($H$123:H125),1)</f>
        <v>0</v>
      </c>
    </row>
    <row r="126" spans="2:8" x14ac:dyDescent="0.3">
      <c r="B126">
        <v>2</v>
      </c>
      <c r="C126">
        <v>6</v>
      </c>
      <c r="D126">
        <f>D115+1</f>
        <v>9</v>
      </c>
      <c r="E126">
        <f>E115+1</f>
        <v>57</v>
      </c>
      <c r="F126">
        <v>32</v>
      </c>
      <c r="G126">
        <v>9</v>
      </c>
      <c r="H126">
        <f>--MID($L$10,ROWS($H$123:H126),1)</f>
        <v>1</v>
      </c>
    </row>
    <row r="127" spans="2:8" x14ac:dyDescent="0.3">
      <c r="B127">
        <v>3</v>
      </c>
      <c r="C127">
        <v>8</v>
      </c>
      <c r="D127">
        <f>D116+1</f>
        <v>1</v>
      </c>
      <c r="E127">
        <f>E116+1</f>
        <v>73</v>
      </c>
      <c r="F127">
        <v>16</v>
      </c>
      <c r="G127">
        <v>9</v>
      </c>
      <c r="H127">
        <f>--MID($L$10,ROWS($H$123:H127),1)</f>
        <v>0</v>
      </c>
    </row>
    <row r="128" spans="2:8" x14ac:dyDescent="0.3">
      <c r="B128">
        <v>3</v>
      </c>
      <c r="C128">
        <v>8</v>
      </c>
      <c r="D128">
        <f>D117+1</f>
        <v>9</v>
      </c>
      <c r="E128">
        <f>E117+1</f>
        <v>89</v>
      </c>
      <c r="F128">
        <v>8</v>
      </c>
      <c r="G128">
        <v>9</v>
      </c>
      <c r="H128">
        <f>--MID($L$10,ROWS($H$123:H128),1)</f>
        <v>0</v>
      </c>
    </row>
    <row r="129" spans="2:8" x14ac:dyDescent="0.3">
      <c r="B129">
        <v>3</v>
      </c>
      <c r="C129">
        <v>9</v>
      </c>
      <c r="D129">
        <f>D118+1</f>
        <v>1</v>
      </c>
      <c r="E129">
        <f>E118+1</f>
        <v>105</v>
      </c>
      <c r="F129">
        <v>4</v>
      </c>
      <c r="G129">
        <v>9</v>
      </c>
      <c r="H129">
        <f>--MID($L$10,ROWS($H$123:H129),1)</f>
        <v>0</v>
      </c>
    </row>
    <row r="130" spans="2:8" x14ac:dyDescent="0.3">
      <c r="B130">
        <v>3</v>
      </c>
      <c r="C130">
        <v>9</v>
      </c>
      <c r="D130">
        <f>D119+1</f>
        <v>9</v>
      </c>
      <c r="E130">
        <f>E119+1</f>
        <v>121</v>
      </c>
      <c r="F130">
        <v>2</v>
      </c>
      <c r="G130">
        <v>9</v>
      </c>
      <c r="H130">
        <f>--MID($L$10,ROWS($H$123:H130),1)</f>
        <v>0</v>
      </c>
    </row>
    <row r="131" spans="2:8" x14ac:dyDescent="0.3">
      <c r="B131">
        <v>3</v>
      </c>
      <c r="C131">
        <v>10</v>
      </c>
      <c r="D131">
        <f>D120+1</f>
        <v>1</v>
      </c>
      <c r="E131">
        <f>E120+1</f>
        <v>137</v>
      </c>
      <c r="F131">
        <v>1</v>
      </c>
      <c r="G131">
        <v>9</v>
      </c>
      <c r="H131">
        <f>--MID($L$10,ROWS($H$123:H131),1)</f>
        <v>0</v>
      </c>
    </row>
    <row r="132" spans="2:8" x14ac:dyDescent="0.3">
      <c r="B132">
        <v>3</v>
      </c>
      <c r="C132">
        <v>10</v>
      </c>
      <c r="D132">
        <f>D121+1</f>
        <v>9</v>
      </c>
      <c r="E132">
        <f>E121+1</f>
        <v>153</v>
      </c>
      <c r="F132">
        <v>0.5</v>
      </c>
      <c r="G132">
        <v>9</v>
      </c>
      <c r="H132">
        <f>--MID($L$10,ROWS($H$123:H132),1)</f>
        <v>0</v>
      </c>
    </row>
    <row r="134" spans="2:8" x14ac:dyDescent="0.3">
      <c r="B134">
        <v>1</v>
      </c>
      <c r="C134">
        <v>3</v>
      </c>
      <c r="D134">
        <f>D123+1</f>
        <v>2</v>
      </c>
      <c r="E134">
        <f>E123+1</f>
        <v>10</v>
      </c>
      <c r="F134">
        <v>256</v>
      </c>
      <c r="G134">
        <v>10</v>
      </c>
      <c r="H134">
        <f>--MID($L$11,ROWS($H$134:H134),1)</f>
        <v>1</v>
      </c>
    </row>
    <row r="135" spans="2:8" x14ac:dyDescent="0.3">
      <c r="B135">
        <v>1</v>
      </c>
      <c r="C135">
        <v>3</v>
      </c>
      <c r="D135">
        <f>D124+1</f>
        <v>10</v>
      </c>
      <c r="E135">
        <f>E124+1</f>
        <v>26</v>
      </c>
      <c r="F135">
        <v>128</v>
      </c>
      <c r="G135">
        <v>10</v>
      </c>
      <c r="H135">
        <f>--MID($L$11,ROWS($H$134:H135),1)</f>
        <v>1</v>
      </c>
    </row>
    <row r="136" spans="2:8" x14ac:dyDescent="0.3">
      <c r="B136">
        <v>2</v>
      </c>
      <c r="C136">
        <v>6</v>
      </c>
      <c r="D136">
        <f>D125+1</f>
        <v>2</v>
      </c>
      <c r="E136">
        <f>E125+1</f>
        <v>42</v>
      </c>
      <c r="F136">
        <v>64</v>
      </c>
      <c r="G136">
        <v>10</v>
      </c>
      <c r="H136">
        <f>--MID($L$11,ROWS($H$134:H136),1)</f>
        <v>0</v>
      </c>
    </row>
    <row r="137" spans="2:8" x14ac:dyDescent="0.3">
      <c r="B137">
        <v>2</v>
      </c>
      <c r="C137">
        <v>6</v>
      </c>
      <c r="D137">
        <f>D126+1</f>
        <v>10</v>
      </c>
      <c r="E137">
        <f>E126+1</f>
        <v>58</v>
      </c>
      <c r="F137">
        <v>32</v>
      </c>
      <c r="G137">
        <v>10</v>
      </c>
      <c r="H137">
        <f>--MID($L$11,ROWS($H$134:H137),1)</f>
        <v>0</v>
      </c>
    </row>
    <row r="138" spans="2:8" x14ac:dyDescent="0.3">
      <c r="B138">
        <v>3</v>
      </c>
      <c r="C138">
        <v>8</v>
      </c>
      <c r="D138">
        <f>D127+1</f>
        <v>2</v>
      </c>
      <c r="E138">
        <f>E127+1</f>
        <v>74</v>
      </c>
      <c r="F138">
        <v>16</v>
      </c>
      <c r="G138">
        <v>10</v>
      </c>
      <c r="H138">
        <f>--MID($L$11,ROWS($H$134:H138),1)</f>
        <v>0</v>
      </c>
    </row>
    <row r="139" spans="2:8" x14ac:dyDescent="0.3">
      <c r="B139">
        <v>3</v>
      </c>
      <c r="C139">
        <v>8</v>
      </c>
      <c r="D139">
        <f>D128+1</f>
        <v>10</v>
      </c>
      <c r="E139">
        <f>E128+1</f>
        <v>90</v>
      </c>
      <c r="F139">
        <v>8</v>
      </c>
      <c r="G139">
        <v>10</v>
      </c>
      <c r="H139">
        <f>--MID($L$11,ROWS($H$134:H139),1)</f>
        <v>1</v>
      </c>
    </row>
    <row r="140" spans="2:8" x14ac:dyDescent="0.3">
      <c r="B140">
        <v>3</v>
      </c>
      <c r="C140">
        <v>9</v>
      </c>
      <c r="D140">
        <f>D129+1</f>
        <v>2</v>
      </c>
      <c r="E140">
        <f>E129+1</f>
        <v>106</v>
      </c>
      <c r="F140">
        <v>4</v>
      </c>
      <c r="G140">
        <v>10</v>
      </c>
      <c r="H140">
        <f>--MID($L$11,ROWS($H$134:H140),1)</f>
        <v>1</v>
      </c>
    </row>
    <row r="141" spans="2:8" x14ac:dyDescent="0.3">
      <c r="B141">
        <v>3</v>
      </c>
      <c r="C141">
        <v>9</v>
      </c>
      <c r="D141">
        <f>D130+1</f>
        <v>10</v>
      </c>
      <c r="E141">
        <f>E130+1</f>
        <v>122</v>
      </c>
      <c r="F141">
        <v>2</v>
      </c>
      <c r="G141">
        <v>10</v>
      </c>
      <c r="H141">
        <f>--MID($L$11,ROWS($H$134:H141),1)</f>
        <v>1</v>
      </c>
    </row>
    <row r="142" spans="2:8" x14ac:dyDescent="0.3">
      <c r="B142">
        <v>3</v>
      </c>
      <c r="C142">
        <v>10</v>
      </c>
      <c r="D142">
        <f>D131+1</f>
        <v>2</v>
      </c>
      <c r="E142">
        <f>E131+1</f>
        <v>138</v>
      </c>
      <c r="F142">
        <v>1</v>
      </c>
      <c r="G142">
        <v>10</v>
      </c>
      <c r="H142">
        <f>--MID($L$11,ROWS($H$134:H142),1)</f>
        <v>1</v>
      </c>
    </row>
    <row r="143" spans="2:8" x14ac:dyDescent="0.3">
      <c r="B143">
        <v>3</v>
      </c>
      <c r="C143">
        <v>10</v>
      </c>
      <c r="D143">
        <f>D132+1</f>
        <v>10</v>
      </c>
      <c r="E143">
        <f>E132+1</f>
        <v>154</v>
      </c>
      <c r="F143">
        <v>0.5</v>
      </c>
      <c r="G143">
        <v>10</v>
      </c>
      <c r="H143">
        <f>--MID($L$11,ROWS($H$134:H143),1)</f>
        <v>0</v>
      </c>
    </row>
    <row r="145" spans="2:8" x14ac:dyDescent="0.3">
      <c r="B145">
        <v>1</v>
      </c>
      <c r="C145">
        <v>3</v>
      </c>
      <c r="D145">
        <f>D134+1</f>
        <v>3</v>
      </c>
      <c r="E145">
        <f>E134+1</f>
        <v>11</v>
      </c>
      <c r="F145">
        <v>256</v>
      </c>
      <c r="G145">
        <v>11</v>
      </c>
      <c r="H145">
        <f>--MID($L$12,ROWS($H$145:H145),1)</f>
        <v>1</v>
      </c>
    </row>
    <row r="146" spans="2:8" x14ac:dyDescent="0.3">
      <c r="B146">
        <v>1</v>
      </c>
      <c r="C146">
        <v>3</v>
      </c>
      <c r="D146">
        <f>D135+1</f>
        <v>11</v>
      </c>
      <c r="E146">
        <f>E135+1</f>
        <v>27</v>
      </c>
      <c r="F146">
        <v>128</v>
      </c>
      <c r="G146">
        <v>11</v>
      </c>
      <c r="H146">
        <f>--MID($L$12,ROWS($H$145:H146),1)</f>
        <v>0</v>
      </c>
    </row>
    <row r="147" spans="2:8" x14ac:dyDescent="0.3">
      <c r="B147">
        <v>2</v>
      </c>
      <c r="C147">
        <v>6</v>
      </c>
      <c r="D147">
        <f>D136+1</f>
        <v>3</v>
      </c>
      <c r="E147">
        <f>E136+1</f>
        <v>43</v>
      </c>
      <c r="F147">
        <v>64</v>
      </c>
      <c r="G147">
        <v>11</v>
      </c>
      <c r="H147">
        <f>--MID($L$12,ROWS($H$145:H147),1)</f>
        <v>1</v>
      </c>
    </row>
    <row r="148" spans="2:8" x14ac:dyDescent="0.3">
      <c r="B148">
        <v>2</v>
      </c>
      <c r="C148">
        <v>6</v>
      </c>
      <c r="D148">
        <f>D137+1</f>
        <v>11</v>
      </c>
      <c r="E148">
        <f>E137+1</f>
        <v>59</v>
      </c>
      <c r="F148">
        <v>32</v>
      </c>
      <c r="G148">
        <v>11</v>
      </c>
      <c r="H148">
        <f>--MID($L$12,ROWS($H$145:H148),1)</f>
        <v>0</v>
      </c>
    </row>
    <row r="149" spans="2:8" x14ac:dyDescent="0.3">
      <c r="B149">
        <v>3</v>
      </c>
      <c r="C149">
        <v>8</v>
      </c>
      <c r="D149">
        <f>D138+1</f>
        <v>3</v>
      </c>
      <c r="E149">
        <f>E138+1</f>
        <v>75</v>
      </c>
      <c r="F149">
        <v>16</v>
      </c>
      <c r="G149">
        <v>11</v>
      </c>
      <c r="H149">
        <f>--MID($L$12,ROWS($H$145:H149),1)</f>
        <v>1</v>
      </c>
    </row>
    <row r="150" spans="2:8" x14ac:dyDescent="0.3">
      <c r="B150">
        <v>3</v>
      </c>
      <c r="C150">
        <v>8</v>
      </c>
      <c r="D150">
        <f>D139+1</f>
        <v>11</v>
      </c>
      <c r="E150">
        <f>E139+1</f>
        <v>91</v>
      </c>
      <c r="F150">
        <v>8</v>
      </c>
      <c r="G150">
        <v>11</v>
      </c>
      <c r="H150">
        <f>--MID($L$12,ROWS($H$145:H150),1)</f>
        <v>0</v>
      </c>
    </row>
    <row r="151" spans="2:8" x14ac:dyDescent="0.3">
      <c r="B151">
        <v>3</v>
      </c>
      <c r="C151">
        <v>9</v>
      </c>
      <c r="D151">
        <f>D140+1</f>
        <v>3</v>
      </c>
      <c r="E151">
        <f>E140+1</f>
        <v>107</v>
      </c>
      <c r="F151">
        <v>4</v>
      </c>
      <c r="G151">
        <v>11</v>
      </c>
      <c r="H151">
        <f>--MID($L$12,ROWS($H$145:H151),1)</f>
        <v>1</v>
      </c>
    </row>
    <row r="152" spans="2:8" x14ac:dyDescent="0.3">
      <c r="B152">
        <v>3</v>
      </c>
      <c r="C152">
        <v>9</v>
      </c>
      <c r="D152">
        <f>D141+1</f>
        <v>11</v>
      </c>
      <c r="E152">
        <f>E141+1</f>
        <v>123</v>
      </c>
      <c r="F152">
        <v>2</v>
      </c>
      <c r="G152">
        <v>11</v>
      </c>
      <c r="H152">
        <f>--MID($L$12,ROWS($H$145:H152),1)</f>
        <v>1</v>
      </c>
    </row>
    <row r="153" spans="2:8" x14ac:dyDescent="0.3">
      <c r="B153">
        <v>3</v>
      </c>
      <c r="C153">
        <v>10</v>
      </c>
      <c r="D153">
        <f>D142+1</f>
        <v>3</v>
      </c>
      <c r="E153">
        <f>E142+1</f>
        <v>139</v>
      </c>
      <c r="F153">
        <v>1</v>
      </c>
      <c r="G153">
        <v>11</v>
      </c>
      <c r="H153">
        <f>--MID($L$12,ROWS($H$145:H153),1)</f>
        <v>0</v>
      </c>
    </row>
    <row r="154" spans="2:8" x14ac:dyDescent="0.3">
      <c r="B154">
        <v>3</v>
      </c>
      <c r="C154">
        <v>10</v>
      </c>
      <c r="D154">
        <f>D143+1</f>
        <v>11</v>
      </c>
      <c r="E154">
        <f>E143+1</f>
        <v>155</v>
      </c>
      <c r="F154">
        <v>0.5</v>
      </c>
      <c r="G154">
        <v>11</v>
      </c>
      <c r="H154">
        <f>--MID($L$12,ROWS($H$145:H154),1)</f>
        <v>1</v>
      </c>
    </row>
    <row r="156" spans="2:8" x14ac:dyDescent="0.3">
      <c r="B156">
        <v>1</v>
      </c>
      <c r="C156">
        <v>3</v>
      </c>
      <c r="D156">
        <f>D145+1</f>
        <v>4</v>
      </c>
      <c r="E156">
        <f>E145+1</f>
        <v>12</v>
      </c>
      <c r="F156">
        <v>256</v>
      </c>
      <c r="G156">
        <v>12</v>
      </c>
      <c r="H156">
        <f>--MID($L$13,ROWS($H$156:H156),1)</f>
        <v>1</v>
      </c>
    </row>
    <row r="157" spans="2:8" x14ac:dyDescent="0.3">
      <c r="B157">
        <v>1</v>
      </c>
      <c r="C157">
        <v>3</v>
      </c>
      <c r="D157">
        <f>D146+1</f>
        <v>12</v>
      </c>
      <c r="E157">
        <f>E146+1</f>
        <v>28</v>
      </c>
      <c r="F157">
        <v>128</v>
      </c>
      <c r="G157">
        <v>12</v>
      </c>
      <c r="H157">
        <f>--MID($L$13,ROWS($H$156:H157),1)</f>
        <v>0</v>
      </c>
    </row>
    <row r="158" spans="2:8" x14ac:dyDescent="0.3">
      <c r="B158">
        <v>2</v>
      </c>
      <c r="C158">
        <v>6</v>
      </c>
      <c r="D158">
        <f>D147+1</f>
        <v>4</v>
      </c>
      <c r="E158">
        <f>E147+1</f>
        <v>44</v>
      </c>
      <c r="F158">
        <v>64</v>
      </c>
      <c r="G158">
        <v>12</v>
      </c>
      <c r="H158">
        <f>--MID($L$13,ROWS($H$156:H158),1)</f>
        <v>0</v>
      </c>
    </row>
    <row r="159" spans="2:8" x14ac:dyDescent="0.3">
      <c r="B159">
        <v>2</v>
      </c>
      <c r="C159">
        <v>6</v>
      </c>
      <c r="D159">
        <f>D148+1</f>
        <v>12</v>
      </c>
      <c r="E159">
        <f>E148+1</f>
        <v>60</v>
      </c>
      <c r="F159">
        <v>32</v>
      </c>
      <c r="G159">
        <v>12</v>
      </c>
      <c r="H159">
        <f>--MID($L$13,ROWS($H$156:H159),1)</f>
        <v>0</v>
      </c>
    </row>
    <row r="160" spans="2:8" x14ac:dyDescent="0.3">
      <c r="B160">
        <v>3</v>
      </c>
      <c r="C160">
        <v>8</v>
      </c>
      <c r="D160">
        <f>D149+1</f>
        <v>4</v>
      </c>
      <c r="E160">
        <f>E149+1</f>
        <v>76</v>
      </c>
      <c r="F160">
        <v>16</v>
      </c>
      <c r="G160">
        <v>12</v>
      </c>
      <c r="H160">
        <f>--MID($L$13,ROWS($H$156:H160),1)</f>
        <v>0</v>
      </c>
    </row>
    <row r="161" spans="2:8" x14ac:dyDescent="0.3">
      <c r="B161">
        <v>3</v>
      </c>
      <c r="C161">
        <v>8</v>
      </c>
      <c r="D161">
        <f>D150+1</f>
        <v>12</v>
      </c>
      <c r="E161">
        <f>E150+1</f>
        <v>92</v>
      </c>
      <c r="F161">
        <v>8</v>
      </c>
      <c r="G161">
        <v>12</v>
      </c>
      <c r="H161">
        <f>--MID($L$13,ROWS($H$156:H161),1)</f>
        <v>0</v>
      </c>
    </row>
    <row r="162" spans="2:8" x14ac:dyDescent="0.3">
      <c r="B162">
        <v>3</v>
      </c>
      <c r="C162">
        <v>9</v>
      </c>
      <c r="D162">
        <f>D151+1</f>
        <v>4</v>
      </c>
      <c r="E162">
        <f>E151+1</f>
        <v>108</v>
      </c>
      <c r="F162">
        <v>4</v>
      </c>
      <c r="G162">
        <v>12</v>
      </c>
      <c r="H162">
        <f>--MID($L$13,ROWS($H$156:H162),1)</f>
        <v>1</v>
      </c>
    </row>
    <row r="163" spans="2:8" x14ac:dyDescent="0.3">
      <c r="B163">
        <v>3</v>
      </c>
      <c r="C163">
        <v>9</v>
      </c>
      <c r="D163">
        <f>D152+1</f>
        <v>12</v>
      </c>
      <c r="E163">
        <f>E152+1</f>
        <v>124</v>
      </c>
      <c r="F163">
        <v>2</v>
      </c>
      <c r="G163">
        <v>12</v>
      </c>
      <c r="H163">
        <f>--MID($L$13,ROWS($H$156:H163),1)</f>
        <v>0</v>
      </c>
    </row>
    <row r="164" spans="2:8" x14ac:dyDescent="0.3">
      <c r="B164">
        <v>3</v>
      </c>
      <c r="C164">
        <v>10</v>
      </c>
      <c r="D164">
        <f>D153+1</f>
        <v>4</v>
      </c>
      <c r="E164">
        <f>E153+1</f>
        <v>140</v>
      </c>
      <c r="F164">
        <v>1</v>
      </c>
      <c r="G164">
        <v>12</v>
      </c>
      <c r="H164">
        <f>--MID($L$13,ROWS($H$156:H164),1)</f>
        <v>1</v>
      </c>
    </row>
    <row r="165" spans="2:8" x14ac:dyDescent="0.3">
      <c r="B165">
        <v>3</v>
      </c>
      <c r="C165">
        <v>10</v>
      </c>
      <c r="D165">
        <f>D154+1</f>
        <v>12</v>
      </c>
      <c r="E165">
        <f>E154+1</f>
        <v>156</v>
      </c>
      <c r="F165">
        <v>0.5</v>
      </c>
      <c r="G165">
        <v>12</v>
      </c>
      <c r="H165">
        <f>--MID($L$13,ROWS($H$156:H165),1)</f>
        <v>0</v>
      </c>
    </row>
    <row r="167" spans="2:8" x14ac:dyDescent="0.3">
      <c r="B167">
        <v>1</v>
      </c>
      <c r="C167">
        <v>3</v>
      </c>
      <c r="D167">
        <f>D156+1</f>
        <v>5</v>
      </c>
      <c r="E167">
        <f>E156+1</f>
        <v>13</v>
      </c>
      <c r="F167">
        <v>256</v>
      </c>
      <c r="G167">
        <v>13</v>
      </c>
      <c r="H167">
        <f>--MID($L$14,ROWS($H$167:H167),1)</f>
        <v>0</v>
      </c>
    </row>
    <row r="168" spans="2:8" x14ac:dyDescent="0.3">
      <c r="B168">
        <v>1</v>
      </c>
      <c r="C168">
        <v>3</v>
      </c>
      <c r="D168">
        <f>D157+1</f>
        <v>13</v>
      </c>
      <c r="E168">
        <f>E157+1</f>
        <v>29</v>
      </c>
      <c r="F168">
        <v>128</v>
      </c>
      <c r="G168">
        <v>13</v>
      </c>
      <c r="H168">
        <f>--MID($L$14,ROWS($H$167:H168),1)</f>
        <v>1</v>
      </c>
    </row>
    <row r="169" spans="2:8" x14ac:dyDescent="0.3">
      <c r="B169">
        <v>2</v>
      </c>
      <c r="C169">
        <v>6</v>
      </c>
      <c r="D169">
        <f>D158+1</f>
        <v>5</v>
      </c>
      <c r="E169">
        <f>E158+1</f>
        <v>45</v>
      </c>
      <c r="F169">
        <v>64</v>
      </c>
      <c r="G169">
        <v>13</v>
      </c>
      <c r="H169">
        <f>--MID($L$14,ROWS($H$167:H169),1)</f>
        <v>0</v>
      </c>
    </row>
    <row r="170" spans="2:8" x14ac:dyDescent="0.3">
      <c r="B170">
        <v>2</v>
      </c>
      <c r="C170">
        <v>6</v>
      </c>
      <c r="D170">
        <f>D159+1</f>
        <v>13</v>
      </c>
      <c r="E170">
        <f>E159+1</f>
        <v>61</v>
      </c>
      <c r="F170">
        <v>32</v>
      </c>
      <c r="G170">
        <v>13</v>
      </c>
      <c r="H170">
        <f>--MID($L$14,ROWS($H$167:H170),1)</f>
        <v>1</v>
      </c>
    </row>
    <row r="171" spans="2:8" x14ac:dyDescent="0.3">
      <c r="B171">
        <v>3</v>
      </c>
      <c r="C171">
        <v>8</v>
      </c>
      <c r="D171">
        <f>D160+1</f>
        <v>5</v>
      </c>
      <c r="E171">
        <f>E160+1</f>
        <v>77</v>
      </c>
      <c r="F171">
        <v>16</v>
      </c>
      <c r="G171">
        <v>13</v>
      </c>
      <c r="H171">
        <f>--MID($L$14,ROWS($H$167:H171),1)</f>
        <v>1</v>
      </c>
    </row>
    <row r="172" spans="2:8" x14ac:dyDescent="0.3">
      <c r="B172">
        <v>3</v>
      </c>
      <c r="C172">
        <v>8</v>
      </c>
      <c r="D172">
        <f>D161+1</f>
        <v>13</v>
      </c>
      <c r="E172">
        <f>E161+1</f>
        <v>93</v>
      </c>
      <c r="F172">
        <v>8</v>
      </c>
      <c r="G172">
        <v>13</v>
      </c>
      <c r="H172">
        <f>--MID($L$14,ROWS($H$167:H172),1)</f>
        <v>1</v>
      </c>
    </row>
    <row r="173" spans="2:8" x14ac:dyDescent="0.3">
      <c r="B173">
        <v>3</v>
      </c>
      <c r="C173">
        <v>9</v>
      </c>
      <c r="D173">
        <f>D162+1</f>
        <v>5</v>
      </c>
      <c r="E173">
        <f>E162+1</f>
        <v>109</v>
      </c>
      <c r="F173">
        <v>4</v>
      </c>
      <c r="G173">
        <v>13</v>
      </c>
      <c r="H173">
        <f>--MID($L$14,ROWS($H$167:H173),1)</f>
        <v>1</v>
      </c>
    </row>
    <row r="174" spans="2:8" x14ac:dyDescent="0.3">
      <c r="B174">
        <v>3</v>
      </c>
      <c r="C174">
        <v>9</v>
      </c>
      <c r="D174">
        <f>D163+1</f>
        <v>13</v>
      </c>
      <c r="E174">
        <f>E163+1</f>
        <v>125</v>
      </c>
      <c r="F174">
        <v>2</v>
      </c>
      <c r="G174">
        <v>13</v>
      </c>
      <c r="H174">
        <f>--MID($L$14,ROWS($H$167:H174),1)</f>
        <v>1</v>
      </c>
    </row>
    <row r="175" spans="2:8" x14ac:dyDescent="0.3">
      <c r="B175">
        <v>3</v>
      </c>
      <c r="C175">
        <v>10</v>
      </c>
      <c r="D175">
        <f>D164+1</f>
        <v>5</v>
      </c>
      <c r="E175">
        <f>E164+1</f>
        <v>141</v>
      </c>
      <c r="F175">
        <v>1</v>
      </c>
      <c r="G175">
        <v>13</v>
      </c>
      <c r="H175">
        <f>--MID($L$14,ROWS($H$167:H175),1)</f>
        <v>0</v>
      </c>
    </row>
    <row r="176" spans="2:8" x14ac:dyDescent="0.3">
      <c r="B176">
        <v>3</v>
      </c>
      <c r="C176">
        <v>10</v>
      </c>
      <c r="D176">
        <f>D165+1</f>
        <v>13</v>
      </c>
      <c r="E176">
        <f>E165+1</f>
        <v>157</v>
      </c>
      <c r="F176">
        <v>0.5</v>
      </c>
      <c r="G176">
        <v>13</v>
      </c>
      <c r="H176">
        <f>--MID($L$14,ROWS($H$167:H176),1)</f>
        <v>1</v>
      </c>
    </row>
    <row r="178" spans="2:8" x14ac:dyDescent="0.3">
      <c r="B178">
        <v>1</v>
      </c>
      <c r="C178">
        <v>3</v>
      </c>
      <c r="D178">
        <f>D167+1</f>
        <v>6</v>
      </c>
      <c r="E178">
        <f>E167+1</f>
        <v>14</v>
      </c>
      <c r="F178">
        <v>256</v>
      </c>
      <c r="G178">
        <v>14</v>
      </c>
      <c r="H178">
        <f>--MID($L$15,ROWS($H$178:H178),1)</f>
        <v>0</v>
      </c>
    </row>
    <row r="179" spans="2:8" x14ac:dyDescent="0.3">
      <c r="B179">
        <v>1</v>
      </c>
      <c r="C179">
        <v>3</v>
      </c>
      <c r="D179">
        <f>D168+1</f>
        <v>14</v>
      </c>
      <c r="E179">
        <f>E168+1</f>
        <v>30</v>
      </c>
      <c r="F179">
        <v>128</v>
      </c>
      <c r="G179">
        <v>14</v>
      </c>
      <c r="H179">
        <f>--MID($L$15,ROWS($H$178:H179),1)</f>
        <v>0</v>
      </c>
    </row>
    <row r="180" spans="2:8" x14ac:dyDescent="0.3">
      <c r="B180">
        <v>2</v>
      </c>
      <c r="C180">
        <v>6</v>
      </c>
      <c r="D180">
        <f>D169+1</f>
        <v>6</v>
      </c>
      <c r="E180">
        <f>E169+1</f>
        <v>46</v>
      </c>
      <c r="F180">
        <v>64</v>
      </c>
      <c r="G180">
        <v>14</v>
      </c>
      <c r="H180">
        <f>--MID($L$15,ROWS($H$178:H180),1)</f>
        <v>1</v>
      </c>
    </row>
    <row r="181" spans="2:8" x14ac:dyDescent="0.3">
      <c r="B181">
        <v>2</v>
      </c>
      <c r="C181">
        <v>6</v>
      </c>
      <c r="D181">
        <f>D170+1</f>
        <v>14</v>
      </c>
      <c r="E181">
        <f>E170+1</f>
        <v>62</v>
      </c>
      <c r="F181">
        <v>32</v>
      </c>
      <c r="G181">
        <v>14</v>
      </c>
      <c r="H181">
        <f>--MID($L$15,ROWS($H$178:H181),1)</f>
        <v>0</v>
      </c>
    </row>
    <row r="182" spans="2:8" x14ac:dyDescent="0.3">
      <c r="B182">
        <v>3</v>
      </c>
      <c r="C182">
        <v>8</v>
      </c>
      <c r="D182">
        <f>D171+1</f>
        <v>6</v>
      </c>
      <c r="E182">
        <f>E171+1</f>
        <v>78</v>
      </c>
      <c r="F182">
        <v>16</v>
      </c>
      <c r="G182">
        <v>14</v>
      </c>
      <c r="H182">
        <f>--MID($L$15,ROWS($H$178:H182),1)</f>
        <v>1</v>
      </c>
    </row>
    <row r="183" spans="2:8" x14ac:dyDescent="0.3">
      <c r="B183">
        <v>3</v>
      </c>
      <c r="C183">
        <v>8</v>
      </c>
      <c r="D183">
        <f>D172+1</f>
        <v>14</v>
      </c>
      <c r="E183">
        <f>E172+1</f>
        <v>94</v>
      </c>
      <c r="F183">
        <v>8</v>
      </c>
      <c r="G183">
        <v>14</v>
      </c>
      <c r="H183">
        <f>--MID($L$15,ROWS($H$178:H183),1)</f>
        <v>1</v>
      </c>
    </row>
    <row r="184" spans="2:8" x14ac:dyDescent="0.3">
      <c r="B184">
        <v>3</v>
      </c>
      <c r="C184">
        <v>9</v>
      </c>
      <c r="D184">
        <f>D173+1</f>
        <v>6</v>
      </c>
      <c r="E184">
        <f>E173+1</f>
        <v>110</v>
      </c>
      <c r="F184">
        <v>4</v>
      </c>
      <c r="G184">
        <v>14</v>
      </c>
      <c r="H184">
        <f>--MID($L$15,ROWS($H$178:H184),1)</f>
        <v>0</v>
      </c>
    </row>
    <row r="185" spans="2:8" x14ac:dyDescent="0.3">
      <c r="B185">
        <v>3</v>
      </c>
      <c r="C185">
        <v>9</v>
      </c>
      <c r="D185">
        <f>D174+1</f>
        <v>14</v>
      </c>
      <c r="E185">
        <f>E174+1</f>
        <v>126</v>
      </c>
      <c r="F185">
        <v>2</v>
      </c>
      <c r="G185">
        <v>14</v>
      </c>
      <c r="H185">
        <f>--MID($L$15,ROWS($H$178:H185),1)</f>
        <v>1</v>
      </c>
    </row>
    <row r="186" spans="2:8" x14ac:dyDescent="0.3">
      <c r="B186">
        <v>3</v>
      </c>
      <c r="C186">
        <v>10</v>
      </c>
      <c r="D186">
        <f>D175+1</f>
        <v>6</v>
      </c>
      <c r="E186">
        <f>E175+1</f>
        <v>142</v>
      </c>
      <c r="F186">
        <v>1</v>
      </c>
      <c r="G186">
        <v>14</v>
      </c>
      <c r="H186">
        <f>--MID($L$15,ROWS($H$178:H186),1)</f>
        <v>1</v>
      </c>
    </row>
    <row r="187" spans="2:8" x14ac:dyDescent="0.3">
      <c r="B187">
        <v>3</v>
      </c>
      <c r="C187">
        <v>10</v>
      </c>
      <c r="D187">
        <f>D176+1</f>
        <v>14</v>
      </c>
      <c r="E187">
        <f>E176+1</f>
        <v>158</v>
      </c>
      <c r="F187">
        <v>0.5</v>
      </c>
      <c r="G187">
        <v>14</v>
      </c>
      <c r="H187">
        <f>--MID($L$15,ROWS($H$178:H187),1)</f>
        <v>1</v>
      </c>
    </row>
    <row r="189" spans="2:8" x14ac:dyDescent="0.3">
      <c r="B189">
        <v>1</v>
      </c>
      <c r="C189">
        <v>3</v>
      </c>
      <c r="D189">
        <f>D178+1</f>
        <v>7</v>
      </c>
      <c r="E189">
        <f>E178+1</f>
        <v>15</v>
      </c>
      <c r="F189">
        <v>256</v>
      </c>
      <c r="G189">
        <v>15</v>
      </c>
      <c r="H189">
        <f>--MID($L$16,ROWS($H$189:H189),1)</f>
        <v>0</v>
      </c>
    </row>
    <row r="190" spans="2:8" x14ac:dyDescent="0.3">
      <c r="B190">
        <v>1</v>
      </c>
      <c r="C190">
        <v>3</v>
      </c>
      <c r="D190">
        <f t="shared" ref="D190:D198" si="1">D179+1</f>
        <v>15</v>
      </c>
      <c r="E190">
        <f t="shared" ref="E190:E198" si="2">E179+1</f>
        <v>31</v>
      </c>
      <c r="F190">
        <v>128</v>
      </c>
      <c r="G190">
        <v>15</v>
      </c>
      <c r="H190">
        <f>--MID($L$16,ROWS($H$189:H190),1)</f>
        <v>0</v>
      </c>
    </row>
    <row r="191" spans="2:8" x14ac:dyDescent="0.3">
      <c r="B191">
        <v>2</v>
      </c>
      <c r="C191">
        <v>6</v>
      </c>
      <c r="D191">
        <f t="shared" si="1"/>
        <v>7</v>
      </c>
      <c r="E191">
        <f t="shared" si="2"/>
        <v>47</v>
      </c>
      <c r="F191">
        <v>64</v>
      </c>
      <c r="G191">
        <v>15</v>
      </c>
      <c r="H191">
        <f>--MID($L$16,ROWS($H$189:H191),1)</f>
        <v>0</v>
      </c>
    </row>
    <row r="192" spans="2:8" x14ac:dyDescent="0.3">
      <c r="B192">
        <v>2</v>
      </c>
      <c r="C192">
        <v>6</v>
      </c>
      <c r="D192">
        <f t="shared" si="1"/>
        <v>15</v>
      </c>
      <c r="E192">
        <f t="shared" si="2"/>
        <v>63</v>
      </c>
      <c r="F192">
        <v>32</v>
      </c>
      <c r="G192">
        <v>15</v>
      </c>
      <c r="H192">
        <f>--MID($L$16,ROWS($H$189:H192),1)</f>
        <v>0</v>
      </c>
    </row>
    <row r="193" spans="2:8" x14ac:dyDescent="0.3">
      <c r="B193">
        <v>3</v>
      </c>
      <c r="C193">
        <v>8</v>
      </c>
      <c r="D193">
        <f t="shared" si="1"/>
        <v>7</v>
      </c>
      <c r="E193">
        <f t="shared" si="2"/>
        <v>79</v>
      </c>
      <c r="F193">
        <v>16</v>
      </c>
      <c r="G193">
        <v>15</v>
      </c>
      <c r="H193">
        <f>--MID($L$16,ROWS($H$189:H193),1)</f>
        <v>0</v>
      </c>
    </row>
    <row r="194" spans="2:8" x14ac:dyDescent="0.3">
      <c r="B194">
        <v>3</v>
      </c>
      <c r="C194">
        <v>8</v>
      </c>
      <c r="D194">
        <f t="shared" si="1"/>
        <v>15</v>
      </c>
      <c r="E194">
        <f t="shared" si="2"/>
        <v>95</v>
      </c>
      <c r="F194">
        <v>8</v>
      </c>
      <c r="G194">
        <v>15</v>
      </c>
      <c r="H194">
        <f>--MID($L$16,ROWS($H$189:H194),1)</f>
        <v>1</v>
      </c>
    </row>
    <row r="195" spans="2:8" x14ac:dyDescent="0.3">
      <c r="B195">
        <v>3</v>
      </c>
      <c r="C195">
        <v>9</v>
      </c>
      <c r="D195">
        <f t="shared" si="1"/>
        <v>7</v>
      </c>
      <c r="E195">
        <f t="shared" si="2"/>
        <v>111</v>
      </c>
      <c r="F195">
        <v>4</v>
      </c>
      <c r="G195">
        <v>15</v>
      </c>
      <c r="H195">
        <f>--MID($L$16,ROWS($H$189:H195),1)</f>
        <v>0</v>
      </c>
    </row>
    <row r="196" spans="2:8" x14ac:dyDescent="0.3">
      <c r="B196">
        <v>3</v>
      </c>
      <c r="C196">
        <v>9</v>
      </c>
      <c r="D196">
        <f t="shared" si="1"/>
        <v>15</v>
      </c>
      <c r="E196">
        <f t="shared" si="2"/>
        <v>127</v>
      </c>
      <c r="F196">
        <v>2</v>
      </c>
      <c r="G196">
        <v>15</v>
      </c>
      <c r="H196">
        <f>--MID($L$16,ROWS($H$189:H196),1)</f>
        <v>1</v>
      </c>
    </row>
    <row r="197" spans="2:8" x14ac:dyDescent="0.3">
      <c r="B197">
        <v>3</v>
      </c>
      <c r="C197">
        <v>10</v>
      </c>
      <c r="D197">
        <f t="shared" si="1"/>
        <v>7</v>
      </c>
      <c r="E197">
        <f t="shared" si="2"/>
        <v>143</v>
      </c>
      <c r="F197">
        <v>1</v>
      </c>
      <c r="G197">
        <v>15</v>
      </c>
      <c r="H197">
        <f>--MID($L$16,ROWS($H$189:H197),1)</f>
        <v>1</v>
      </c>
    </row>
    <row r="198" spans="2:8" x14ac:dyDescent="0.3">
      <c r="B198">
        <v>3</v>
      </c>
      <c r="C198">
        <v>10</v>
      </c>
      <c r="D198">
        <f t="shared" si="1"/>
        <v>15</v>
      </c>
      <c r="E198">
        <f t="shared" si="2"/>
        <v>159</v>
      </c>
      <c r="F198">
        <v>0.5</v>
      </c>
      <c r="G198">
        <v>15</v>
      </c>
      <c r="H198">
        <f>--MID($L$16,ROWS($H$189:H198),1)</f>
        <v>1</v>
      </c>
    </row>
  </sheetData>
  <autoFilter ref="B23:G198" xr:uid="{6DE34842-7D0A-4375-8565-1847F2463DFA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Anirudh</dc:creator>
  <cp:lastModifiedBy>Arvind Anirudh</cp:lastModifiedBy>
  <dcterms:created xsi:type="dcterms:W3CDTF">2026-08-09T11:18:39Z</dcterms:created>
  <dcterms:modified xsi:type="dcterms:W3CDTF">2026-08-09T17:51:15Z</dcterms:modified>
</cp:coreProperties>
</file>